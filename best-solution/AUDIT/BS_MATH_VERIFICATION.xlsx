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 Verification" sheetId="1" state="visible" r:id="rId1"/>
    <sheet name="WCF Worked Example" sheetId="2" state="visible" r:id="rId2"/>
  </sheets>
  <definedNames>
    <definedName name="_xlnm._FilterDatabase" localSheetId="0" hidden="1">'Formula Verification'!$A$1:$G$31</definedName>
    <definedName name="_xlnm._FilterDatabase" localSheetId="1" hidden="1">'WCF Worked Example'!$A$13:$H$43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($#,##0.00)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7A33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i val="1"/>
      <sz val="9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8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46" customWidth="1" min="4" max="4"/>
    <col width="40" customWidth="1" min="5" max="5"/>
    <col width="9" customWidth="1" min="6" max="6"/>
    <col width="44" customWidth="1" min="7" max="7"/>
  </cols>
  <sheetData>
    <row r="1">
      <c r="A1" s="1" t="inlineStr">
        <is>
          <t>#</t>
        </is>
      </c>
      <c r="B1" s="1" t="inlineStr">
        <is>
          <t>Formula Name</t>
        </is>
      </c>
      <c r="C1" s="1" t="inlineStr">
        <is>
          <t>Where It Lives (file line)</t>
        </is>
      </c>
      <c r="D1" s="1" t="inlineStr">
        <is>
          <t>What The Code Does</t>
        </is>
      </c>
      <c r="E1" s="1" t="inlineStr">
        <is>
          <t>What It Should Do</t>
        </is>
      </c>
      <c r="F1" s="1" t="inlineStr">
        <is>
          <t>Match</t>
        </is>
      </c>
      <c r="G1" s="1" t="inlineStr">
        <is>
          <t>Impact In Dollars</t>
        </is>
      </c>
    </row>
    <row r="2">
      <c r="A2" s="2" t="n">
        <v>1</v>
      </c>
      <c r="B2" s="2" t="inlineStr">
        <is>
          <t>Revenue collected (gross)</t>
        </is>
      </c>
      <c r="C2" s="2" t="inlineStr">
        <is>
          <t>showActualRev, 1136; calcShow, 1123</t>
        </is>
      </c>
      <c r="D2" s="2" t="inlineStr">
        <is>
          <t>Sums every payment method across all days. Real dollars in.</t>
        </is>
      </c>
      <c r="E2" s="2" t="inlineStr">
        <is>
          <t>Same.</t>
        </is>
      </c>
      <c r="F2" s="3" t="inlineStr">
        <is>
          <t>YES</t>
        </is>
      </c>
      <c r="G2" s="2" t="inlineStr">
        <is>
          <t>0. Verified $6,086.00 on real WCF data.</t>
        </is>
      </c>
    </row>
    <row r="3">
      <c r="A3" s="2" t="n">
        <v>2</v>
      </c>
      <c r="B3" s="2" t="inlineStr">
        <is>
          <t>Potential revenue (units x price)</t>
        </is>
      </c>
      <c r="C3" s="2" t="inlineStr">
        <is>
          <t>showPotentialRev, 1130; calcRev, 1091</t>
        </is>
      </c>
      <c r="D3" s="2" t="inlineStr">
        <is>
          <t>Units sold x CURRENT price table.</t>
        </is>
      </c>
      <c r="E3" s="2" t="inlineStr">
        <is>
          <t>Units x the price in force AT THE SHOW. Uses today's prices for history, so past shows re-price when Settings change.</t>
        </is>
      </c>
      <c r="F3" s="4" t="inlineStr">
        <is>
          <t>PARTIAL</t>
        </is>
      </c>
      <c r="G3" s="2" t="inlineStr">
        <is>
          <t>No cash lost. WCF gap vs collected: $1,071 in 5 days because the price table is stale (audit finding 5).</t>
        </is>
      </c>
    </row>
    <row r="4">
      <c r="A4" s="2" t="n">
        <v>3</v>
      </c>
      <c r="B4" s="2" t="inlineStr">
        <is>
          <t>COGS per show</t>
        </is>
      </c>
      <c r="C4" s="2" t="inlineStr">
        <is>
          <t>calcShow, 1109; calcCOGS, 1092; dayCogsUnits, 1101</t>
        </is>
      </c>
      <c r="D4" s="2" t="inlineStr">
        <is>
          <t>(morning + restock - evening) x hardcoded unit cost. Lost or damaged units correctly stay in COGS.</t>
        </is>
      </c>
      <c r="E4" s="2" t="inlineStr">
        <is>
          <t>Same, but costs should be editable (Batman's app already does this).</t>
        </is>
      </c>
      <c r="F4" s="3" t="inlineStr">
        <is>
          <t>YES</t>
        </is>
      </c>
      <c r="G4" s="2" t="inlineStr">
        <is>
          <t>0 on math. Verified $1,652.00 on real WCF data. Costs invisible in UI (finding 9).</t>
        </is>
      </c>
    </row>
    <row r="5">
      <c r="A5" s="2" t="n">
        <v>4</v>
      </c>
      <c r="B5" s="2" t="inlineStr">
        <is>
          <t>Gross profit vs net</t>
        </is>
      </c>
      <c r="C5" s="2" t="inlineStr">
        <is>
          <t>calcShow, 1124-1126</t>
        </is>
      </c>
      <c r="D5" s="2" t="inlineStr">
        <is>
          <t>profit = collected - COGS - expenses. Labeled Profit; Net = profit - tax reserve. Revenue is never called profit anywhere.</t>
        </is>
      </c>
      <c r="E5" s="2" t="inlineStr">
        <is>
          <t>Same labels, but expenses are incomplete (rows 6, 7, 8).</t>
        </is>
      </c>
      <c r="F5" s="4" t="inlineStr">
        <is>
          <t>PARTIAL</t>
        </is>
      </c>
      <c r="G5" s="2" t="inlineStr">
        <is>
          <t>See rows 6 to 8.</t>
        </is>
      </c>
    </row>
    <row r="6">
      <c r="A6" s="2" t="n">
        <v>5</v>
      </c>
      <c r="B6" s="2" t="inlineStr">
        <is>
          <t>Margin vs markup</t>
        </is>
      </c>
      <c r="C6" s="2" t="inlineStr">
        <is>
          <t>(searched whole codebase)</t>
        </is>
      </c>
      <c r="D6" s="2" t="inlineStr">
        <is>
          <t>Neither term is used anywhere; no percent-margin math exists to confuse.</t>
        </is>
      </c>
      <c r="E6" s="2" t="inlineStr">
        <is>
          <t>If margin stats get added, margin = profit/price, markup = profit/cost.</t>
        </is>
      </c>
      <c r="F6" s="3" t="inlineStr">
        <is>
          <t>YES</t>
        </is>
      </c>
      <c r="G6" s="2" t="inlineStr">
        <is>
          <t>0. No mix-up exists.</t>
        </is>
      </c>
    </row>
    <row r="7">
      <c r="A7" s="2" t="n">
        <v>6</v>
      </c>
      <c r="B7" s="2" t="inlineStr">
        <is>
          <t>Card processing fees</t>
        </is>
      </c>
      <c r="C7" s="2" t="inlineStr">
        <is>
          <t>Settings sqFee, 345; calcShow, 1106</t>
        </is>
      </c>
      <c r="D7" s="2" t="inlineStr">
        <is>
          <t>Setting exists (3 percent), edited in UI at 3805, NEVER used in any calculation.</t>
        </is>
      </c>
      <c r="E7" s="2" t="inlineStr">
        <is>
          <t>Deduct fee x (Square + Debit) as an expense line.</t>
        </is>
      </c>
      <c r="F7" s="5" t="inlineStr">
        <is>
          <t>NO</t>
        </is>
      </c>
      <c r="G7" s="2" t="inlineStr">
        <is>
          <t>WCF alone: $87.81 missing so far. Season: about 3 percent of all card sales.</t>
        </is>
      </c>
    </row>
    <row r="8">
      <c r="A8" s="2" t="n">
        <v>7</v>
      </c>
      <c r="B8" s="2" t="inlineStr">
        <is>
          <t>Gas in profit</t>
        </is>
      </c>
      <c r="C8" s="2" t="inlineStr">
        <is>
          <t>calcShow, 1106 vs calcBreakEven, 2199</t>
        </is>
      </c>
      <c r="D8" s="2" t="inlineStr">
        <is>
          <t>Break-even includes computed gas; profit only includes gas if the Day Expenses modal was saved. WCF days all show $0 gas.</t>
        </is>
      </c>
      <c r="E8" s="2" t="inlineStr">
        <is>
          <t>Profit auto-includes showGas unless day gas was entered by hand.</t>
        </is>
      </c>
      <c r="F8" s="5" t="inlineStr">
        <is>
          <t>NO</t>
        </is>
      </c>
      <c r="G8" s="2" t="inlineStr">
        <is>
          <t>WCF: $117.26 of real driving cost missing from profit (456 mi, 17.5 MPG, $4.50/gal).</t>
        </is>
      </c>
    </row>
    <row r="9">
      <c r="A9" s="2" t="n">
        <v>8</v>
      </c>
      <c r="B9" s="2" t="inlineStr">
        <is>
          <t>Booth expense</t>
        </is>
      </c>
      <c r="C9" s="2" t="inlineStr">
        <is>
          <t>calcShow, 1107; boothPaid, 1247</t>
        </is>
      </c>
      <c r="D9" s="2" t="inlineStr">
        <is>
          <t>Books sticker price (boothCost), ignores actual payments.</t>
        </is>
      </c>
      <c r="E9" s="2" t="inlineStr">
        <is>
          <t>Completed shows should book what was actually paid.</t>
        </is>
      </c>
      <c r="F9" s="5" t="inlineStr">
        <is>
          <t>NO</t>
        </is>
      </c>
      <c r="G9" s="2" t="inlineStr">
        <is>
          <t>WCF: paid $589, booked $580 ($9 under). Pewaukee: paid $425, booked $450 ($25 over).</t>
        </is>
      </c>
    </row>
    <row r="10">
      <c r="A10" s="2" t="n">
        <v>9</v>
      </c>
      <c r="B10" s="2" t="inlineStr">
        <is>
          <t>Rep day pay</t>
        </is>
      </c>
      <c r="C10" s="2" t="inlineStr">
        <is>
          <t>repShowPay, 1278; repDayPay, 1268</t>
        </is>
      </c>
      <c r="D10" s="2" t="inlineStr">
        <is>
          <t>Flat dollars per day, entered daily. Three-tier fallback (day pay, legacy day payout, legacy show payout) never double counts. Verified by tracing all tiers.</t>
        </is>
      </c>
      <c r="E10" s="2" t="inlineStr">
        <is>
          <t>Same, plus a loud warning when a staffed day has no pay entered.</t>
        </is>
      </c>
      <c r="F10" s="3" t="inlineStr">
        <is>
          <t>YES</t>
        </is>
      </c>
      <c r="G10" s="2" t="inlineStr">
        <is>
          <t>Math 0. Behavior gap: Ronny at WCF = $0 labor cost until typed (finding 10).</t>
        </is>
      </c>
    </row>
    <row r="11">
      <c r="A11" s="2" t="n">
        <v>10</v>
      </c>
      <c r="B11" s="2" t="inlineStr">
        <is>
          <t>Worker payouts</t>
        </is>
      </c>
      <c r="C11" s="2" t="inlineStr">
        <is>
          <t>workerPayout, 1289</t>
        </is>
      </c>
      <c r="D11" s="2" t="inlineStr">
        <is>
          <t>hourly = hours x rate, else flat amount; owed = payout - paid, floored at 0.</t>
        </is>
      </c>
      <c r="E11" s="2" t="inlineStr">
        <is>
          <t>Same.</t>
        </is>
      </c>
      <c r="F11" s="3" t="inlineStr">
        <is>
          <t>YES</t>
        </is>
      </c>
      <c r="G11" s="2" t="inlineStr">
        <is>
          <t>0.</t>
        </is>
      </c>
    </row>
    <row r="12">
      <c r="A12" s="2" t="n">
        <v>11</v>
      </c>
      <c r="B12" s="2" t="inlineStr">
        <is>
          <t>Tax reserve</t>
        </is>
      </c>
      <c r="C12" s="2" t="inlineStr">
        <is>
          <t>calcShow, 1125; showTaxRate, 2038</t>
        </is>
      </c>
      <c r="D12" s="2" t="inlineStr">
        <is>
          <t>max(0, profit) x 28 percent per show, summed for the season.</t>
        </is>
      </c>
      <c r="E12" s="2" t="inlineStr">
        <is>
          <t>Same. Note a second, DEAD function showTaxRes (card sales x rate, line 2045) exists but is never called.</t>
        </is>
      </c>
      <c r="F12" s="3" t="inlineStr">
        <is>
          <t>YES</t>
        </is>
      </c>
      <c r="G12" s="2" t="inlineStr">
        <is>
          <t>0. Verified $1,059.97 on WCF. Dead code should be deleted to avoid future confusion.</t>
        </is>
      </c>
    </row>
    <row r="13">
      <c r="A13" s="2" t="n">
        <v>12</v>
      </c>
      <c r="B13" s="2" t="inlineStr">
        <is>
          <t>Sales tax owed to the state</t>
        </is>
      </c>
      <c r="C13" s="2" t="inlineStr">
        <is>
          <t>showActualRev, 1136</t>
        </is>
      </c>
      <c r="D13" s="2" t="inlineStr">
        <is>
          <t>All collected money is treated as revenue. No split of sales tax anywhere; only a manual expense category exists.</t>
        </is>
      </c>
      <c r="E13" s="2" t="inlineStr">
        <is>
          <t>Split collected money into revenue vs tax owed at the filing rate.</t>
        </is>
      </c>
      <c r="F13" s="5" t="inlineStr">
        <is>
          <t>NO</t>
        </is>
      </c>
      <c r="G13" s="2" t="inlineStr">
        <is>
          <t>If WCF prices include 5.5 percent tax, about $317 of WCF money belongs to WI DOR. Needs Froggy's answer (finding 3).</t>
        </is>
      </c>
    </row>
    <row r="14">
      <c r="A14" s="2" t="n">
        <v>13</v>
      </c>
      <c r="B14" s="2" t="inlineStr">
        <is>
          <t>Break-even</t>
        </is>
      </c>
      <c r="C14" s="2" t="inlineStr">
        <is>
          <t>calcBreakEven, 2199</t>
        </is>
      </c>
      <c r="D14" s="2" t="inlineStr">
        <is>
          <t>(booth + gas + lodging + show exp + flat overhead + worker + rep pay) / (1 - 0.30). The 0.30 is a hardcoded 2025 average COGS ratio. Dollars only.</t>
        </is>
      </c>
      <c r="E14" s="2" t="inlineStr">
        <is>
          <t>Use the show's own COGS ratio, include card fees, output dollars AND units.</t>
        </is>
      </c>
      <c r="F14" s="5" t="inlineStr">
        <is>
          <t>NO</t>
        </is>
      </c>
      <c r="G14" s="2" t="inlineStr">
        <is>
          <t>WCF: shows $1,038.94. Actual-mix answer: $998.22 (27.1 percent real ratio). With fees: about $1,031. Never shown in units (about 89 units).</t>
        </is>
      </c>
    </row>
    <row r="15">
      <c r="A15" s="2" t="n">
        <v>14</v>
      </c>
      <c r="B15" s="2" t="inlineStr">
        <is>
          <t>Break-even in units</t>
        </is>
      </c>
      <c r="C15" s="2" t="inlineStr">
        <is>
          <t>(absent)</t>
        </is>
      </c>
      <c r="D15" s="2" t="inlineStr">
        <is>
          <t>Not computed anywhere.</t>
        </is>
      </c>
      <c r="E15" s="2" t="inlineStr">
        <is>
          <t>fixed / (1 - cogs ratio) / avg unit price.</t>
        </is>
      </c>
      <c r="F15" s="5" t="inlineStr">
        <is>
          <t>NO</t>
        </is>
      </c>
      <c r="G15" s="2" t="inlineStr">
        <is>
          <t>WCF: about 89 units. Actionable in a booth; missing entirely.</t>
        </is>
      </c>
    </row>
    <row r="16">
      <c r="A16" s="2" t="n">
        <v>15</v>
      </c>
      <c r="B16" s="2" t="inlineStr">
        <is>
          <t>Fixed vs variable split</t>
        </is>
      </c>
      <c r="C16" s="2" t="inlineStr">
        <is>
          <t>calcBreakEven, 2199-2208</t>
        </is>
      </c>
      <c r="D16" s="2" t="inlineStr">
        <is>
          <t>Booth, gas, lodging, show exp, flat overhead, labor treated as fixed; COGS as the only variable. Reasonable for this business.</t>
        </is>
      </c>
      <c r="E16" s="2" t="inlineStr">
        <is>
          <t>Same. Card fees are variable and are missing (row 6).</t>
        </is>
      </c>
      <c r="F16" s="4" t="inlineStr">
        <is>
          <t>PARTIAL</t>
        </is>
      </c>
      <c r="G16" s="2" t="inlineStr">
        <is>
          <t>Covered by row 6.</t>
        </is>
      </c>
    </row>
    <row r="17">
      <c r="A17" s="2" t="n">
        <v>16</v>
      </c>
      <c r="B17" s="2" t="inlineStr">
        <is>
          <t>Season = sum of shows</t>
        </is>
      </c>
      <c r="C17" s="2" t="inlineStr">
        <is>
          <t>calcYTD, 1212; rPnL, 2361</t>
        </is>
      </c>
      <c r="D17" s="2" t="inlineStr">
        <is>
          <t>Season figures recompute from the same per-show data at render time; completed vs planned paths are disjoint. No stored aggregates to drift.</t>
        </is>
      </c>
      <c r="E17" s="2" t="inlineStr">
        <is>
          <t>Same.</t>
        </is>
      </c>
      <c r="F17" s="3" t="inlineStr">
        <is>
          <t>YES</t>
        </is>
      </c>
      <c r="G17" s="2" t="inlineStr">
        <is>
          <t>0. No double counting found. Planned shows contribute only paid deposits and logged expenses.</t>
        </is>
      </c>
    </row>
    <row r="18">
      <c r="A18" s="2" t="n">
        <v>17</v>
      </c>
      <c r="B18" s="2" t="inlineStr">
        <is>
          <t>Multi-day aggregation</t>
        </is>
      </c>
      <c r="C18" s="2" t="inlineStr">
        <is>
          <t>calcShow day loop, 1108; resizeShowDays, 2088</t>
        </is>
      </c>
      <c r="D18" s="2" t="inlineStr">
        <is>
          <t>Each day is its own record; day list resizes without deleting entered sales; WCF (6 days) aggregates with no overwrite or duplication.</t>
        </is>
      </c>
      <c r="E18" s="2" t="inlineStr">
        <is>
          <t>Same.</t>
        </is>
      </c>
      <c r="F18" s="3" t="inlineStr">
        <is>
          <t>YES</t>
        </is>
      </c>
      <c r="G18" s="2" t="inlineStr">
        <is>
          <t>0. Verified across WCF's 6 days including the mid-show restock.</t>
        </is>
      </c>
    </row>
    <row r="19">
      <c r="A19" s="2" t="n">
        <v>18</v>
      </c>
      <c r="B19" s="2" t="inlineStr">
        <is>
          <t>Cash drawer check</t>
        </is>
      </c>
      <c r="C19" s="2" t="inlineStr">
        <is>
          <t>dayCashCheck, 1171</t>
        </is>
      </c>
      <c r="D19" s="2" t="inlineStr">
        <is>
          <t>Collected vs sold-at-full-price per day, 50 cent tolerance, flags short/over.</t>
        </is>
      </c>
      <c r="E19" s="2" t="inlineStr">
        <is>
          <t>Same, but it is only meaningful once prices are right (row 2).</t>
        </is>
      </c>
      <c r="F19" s="3" t="inlineStr">
        <is>
          <t>YES</t>
        </is>
      </c>
      <c r="G19" s="2" t="inlineStr">
        <is>
          <t>Logic 0. All 5 WCF days read OVER by 20 to 22 percent because of the stale price table.</t>
        </is>
      </c>
    </row>
    <row r="20">
      <c r="A20" s="2" t="n">
        <v>19</v>
      </c>
      <c r="B20" s="2" t="inlineStr">
        <is>
          <t>Payment split totals</t>
        </is>
      </c>
      <c r="C20" s="2" t="inlineStr">
        <is>
          <t>calcYTD, 1215</t>
        </is>
      </c>
      <c r="D20" s="2" t="inlineStr">
        <is>
          <t>Initializer is missing the debit key, so debit sums into undefined, becomes NaN, and displays fall back to $0. Proven live in the harness.</t>
        </is>
      </c>
      <c r="E20" s="2" t="inlineStr">
        <is>
          <t>Add debit:0 to the initializer.</t>
        </is>
      </c>
      <c r="F20" s="5" t="inlineStr">
        <is>
          <t>NO</t>
        </is>
      </c>
      <c r="G20" s="2" t="inlineStr">
        <is>
          <t>$256 of real debit money invisible in the Payment Breakdown right now. Gross and profit are NOT affected.</t>
        </is>
      </c>
    </row>
    <row r="21">
      <c r="A21" s="2" t="n">
        <v>20</v>
      </c>
      <c r="B21" s="2" t="inlineStr">
        <is>
          <t>Discounts and freebies</t>
        </is>
      </c>
      <c r="C21" s="2" t="inlineStr">
        <is>
          <t>showDiscountTotal, 1142</t>
        </is>
      </c>
      <c r="D21" s="2" t="inlineStr">
        <is>
          <t>A log and a summary only. Never touches sold counts, payments, or revenue. Lost/given units DO hit COGS via the adjust flow.</t>
        </is>
      </c>
      <c r="E21" s="2" t="inlineStr">
        <is>
          <t>As designed. Fine.</t>
        </is>
      </c>
      <c r="F21" s="3" t="inlineStr">
        <is>
          <t>YES</t>
        </is>
      </c>
      <c r="G21" s="2" t="inlineStr">
        <is>
          <t>0.</t>
        </is>
      </c>
    </row>
    <row r="22">
      <c r="A22" s="2" t="n">
        <v>21</v>
      </c>
      <c r="B22" s="2" t="inlineStr">
        <is>
          <t>Inventory identity</t>
        </is>
      </c>
      <c r="C22" s="2" t="inlineStr">
        <is>
          <t>daySold, 1099; invNegativeSold, 1163; adjInv/setInv, 1837</t>
        </is>
      </c>
      <c r="D22" s="2" t="inlineStr">
        <is>
          <t>start + restock - sold - lost = end holds by construction; sold is derived FROM the counts. Impossible sales (end &gt; start+restock) are flagged red. All inventory writes clamp at zero, so stock can never go negative.</t>
        </is>
      </c>
      <c r="E22" s="2" t="inlineStr">
        <is>
          <t>Same.</t>
        </is>
      </c>
      <c r="F22" s="3" t="inlineStr">
        <is>
          <t>YES</t>
        </is>
      </c>
      <c r="G22" s="2" t="inlineStr">
        <is>
          <t>0. WCF verified: packed 746 = booth 384 + restocks 362, zero continuity breaks.</t>
        </is>
      </c>
    </row>
    <row r="23">
      <c r="A23" s="2" t="n">
        <v>22</v>
      </c>
      <c r="B23" s="2" t="inlineStr">
        <is>
          <t>Sale decrements inventory once</t>
        </is>
      </c>
      <c r="C23" s="2" t="inlineStr">
        <is>
          <t>confirmPack, 3057; endShow, 3182</t>
        </is>
      </c>
      <c r="D23" s="2" t="inlineStr">
        <is>
          <t>Packing decrements master once; counts drive sold; end-show returns the LAST evening count to master.</t>
        </is>
      </c>
      <c r="E23" s="2" t="inlineStr">
        <is>
          <t>End-show should return packed + restocks not consumed, with a confirmation. Units left in the truck and never counted into a day silently vanish.</t>
        </is>
      </c>
      <c r="F23" s="4" t="inlineStr">
        <is>
          <t>PARTIAL</t>
        </is>
      </c>
      <c r="G23" s="2" t="inlineStr">
        <is>
          <t>0 at WCF (fully reconciled). Unbounded on a show where truck stock never enters the booth counts (finding 4a).</t>
        </is>
      </c>
    </row>
    <row r="24">
      <c r="A24" s="2" t="n">
        <v>23</v>
      </c>
      <c r="B24" s="2" t="inlineStr">
        <is>
          <t>Two people, same last unit</t>
        </is>
      </c>
      <c r="C24" s="2" t="inlineStr">
        <is>
          <t>cloudPush/cloudHydrate, 4028/4065</t>
        </is>
      </c>
      <c r="D24" s="2" t="inlineStr">
        <is>
          <t>Each app has its own cloud row, so crew cannot collide with each other. Same account on two devices: whole-state last-write-wins; the later save silently replaces the earlier one (3 local backups kept).</t>
        </is>
      </c>
      <c r="E24" s="2" t="inlineStr">
        <is>
          <t>Warn before adopting a cloud copy that would discard newer local entries.</t>
        </is>
      </c>
      <c r="F24" s="4" t="inlineStr">
        <is>
          <t>PARTIAL</t>
        </is>
      </c>
      <c r="G24" s="2" t="inlineStr">
        <is>
          <t>Unbounded when it hits (finding 4b).</t>
        </is>
      </c>
    </row>
    <row r="25">
      <c r="A25" s="2" t="n">
        <v>24</v>
      </c>
      <c r="B25" s="2" t="inlineStr">
        <is>
          <t>Inventory valuation</t>
        </is>
      </c>
      <c r="C25" s="2" t="inlineStr">
        <is>
          <t>calcInvCost, 1104; calcInvRetail, 1105</t>
        </is>
      </c>
      <c r="D25" s="2" t="inlineStr">
        <is>
          <t>Both cost and retail computed and always labeled which is which.</t>
        </is>
      </c>
      <c r="E25" s="2" t="inlineStr">
        <is>
          <t>Same.</t>
        </is>
      </c>
      <c r="F25" s="3" t="inlineStr">
        <is>
          <t>YES</t>
        </is>
      </c>
      <c r="G25" s="2" t="inlineStr">
        <is>
          <t>0.</t>
        </is>
      </c>
    </row>
    <row r="26">
      <c r="A26" s="2" t="n">
        <v>25</v>
      </c>
      <c r="B26" s="2" t="inlineStr">
        <is>
          <t>Floating point money</t>
        </is>
      </c>
      <c r="C26" s="2" t="inlineStr">
        <is>
          <t>fmt, 1087; all math</t>
        </is>
      </c>
      <c r="D26" s="2" t="inlineStr">
        <is>
          <t>All money is JS floats; rounding happens once, at display. Worst-case float dust at these volumes stays far below one cent; the 50 cent cash-check tolerance absorbs it.</t>
        </is>
      </c>
      <c r="E26" s="2" t="inlineStr">
        <is>
          <t>Integer cents would be textbook-correct but is not worth the rewrite now.</t>
        </is>
      </c>
      <c r="F26" s="4" t="inlineStr">
        <is>
          <t>PARTIAL</t>
        </is>
      </c>
      <c r="G26" s="2" t="inlineStr">
        <is>
          <t>Under $0.01. Not a practical error source.</t>
        </is>
      </c>
    </row>
    <row r="27">
      <c r="A27" s="2" t="n">
        <v>26</v>
      </c>
      <c r="B27" s="2" t="inlineStr">
        <is>
          <t>Division by zero</t>
        </is>
      </c>
      <c r="C27" s="2" t="inlineStr">
        <is>
          <t>avgShowProfit 1370, per-hour/per-mile 2487, keepPct 1379, payment pct 1660</t>
        </is>
      </c>
      <c r="D27" s="2" t="inlineStr">
        <is>
          <t>Every average and percentage found is guarded (length or &gt; 0 checks). A zero-sales show produces $0 stats, not NaN.</t>
        </is>
      </c>
      <c r="E27" s="2" t="inlineStr">
        <is>
          <t>Same.</t>
        </is>
      </c>
      <c r="F27" s="3" t="inlineStr">
        <is>
          <t>YES</t>
        </is>
      </c>
      <c r="G27" s="2" t="inlineStr">
        <is>
          <t>0.</t>
        </is>
      </c>
    </row>
    <row r="28">
      <c r="A28" s="2" t="n">
        <v>27</v>
      </c>
      <c r="B28" s="2" t="inlineStr">
        <is>
          <t>Null and blank inputs</t>
        </is>
      </c>
      <c r="C28" s="2" t="inlineStr">
        <is>
          <t>parseFloat(x) or 0 pattern, everywhere</t>
        </is>
      </c>
      <c r="D28" s="2" t="inlineStr">
        <is>
          <t>Blank fields consistently become 0. Silent, but consistent. The one misleading case: a day with money and no counts books zero COGS.</t>
        </is>
      </c>
      <c r="E28" s="2" t="inlineStr">
        <is>
          <t>Warn when payments &gt; 0 and counts are missing (finding 12).</t>
        </is>
      </c>
      <c r="F28" s="4" t="inlineStr">
        <is>
          <t>PARTIAL</t>
        </is>
      </c>
      <c r="G28" s="2" t="inlineStr">
        <is>
          <t>That day's entire COGS is missing from profit until counted.</t>
        </is>
      </c>
    </row>
    <row r="29">
      <c r="A29" s="2" t="n">
        <v>28</v>
      </c>
      <c r="B29" s="2" t="inlineStr">
        <is>
          <t>Dates and timezones</t>
        </is>
      </c>
      <c r="C29" s="2" t="inlineStr">
        <is>
          <t>_todayKey 1146, _stamp 2616, _isoEnd 2077</t>
        </is>
      </c>
      <c r="D29" s="2" t="inlineStr">
        <is>
          <t>today and file-date stamps use UTC, which is tomorrow after about 6 or 7pm Central. Date ranges themselves (start + numDays - 1, noon-anchored) are inclusive and consistent.</t>
        </is>
      </c>
      <c r="E29" s="2" t="inlineStr">
        <is>
          <t>Use local dates for today and stamps.</t>
        </is>
      </c>
      <c r="F29" s="5" t="inlineStr">
        <is>
          <t>NO</t>
        </is>
      </c>
      <c r="G29" s="2" t="inlineStr">
        <is>
          <t>No dollars. Planned shows flip to Missed on the evening of their own last day; evening exports get tomorrow's date (finding 11).</t>
        </is>
      </c>
    </row>
    <row r="30">
      <c r="A30" s="2" t="n">
        <v>29</v>
      </c>
      <c r="B30" s="2" t="inlineStr">
        <is>
          <t>Duplicate submits</t>
        </is>
      </c>
      <c r="C30" s="2" t="inlineStr">
        <is>
          <t>addShowExp 2337, saveBoothPmt 3231, saveRepPmt 3755, saveDiscount 2548, saveTransfer 2582, saveOtherExpense 3262</t>
        </is>
      </c>
      <c r="D30" s="2" t="inlineStr">
        <is>
          <t>Append-style saves can double-log on a double tap. Counts and payment totals overwrite, so they are safe.</t>
        </is>
      </c>
      <c r="E30" s="2" t="inlineStr">
        <is>
          <t>Disable button on first tap.</t>
        </is>
      </c>
      <c r="F30" s="5" t="inlineStr">
        <is>
          <t>NO</t>
        </is>
      </c>
      <c r="G30" s="2" t="inlineStr">
        <is>
          <t>Occasional duplicated expense or payment entry until noticed and deleted (finding 16).</t>
        </is>
      </c>
    </row>
    <row r="31">
      <c r="A31" s="2" t="n">
        <v>30</v>
      </c>
      <c r="B31" s="2" t="inlineStr">
        <is>
          <t>Bundle and multi-pack pricing</t>
        </is>
      </c>
      <c r="C31" s="2" t="inlineStr">
        <is>
          <t>(absent)</t>
        </is>
      </c>
      <c r="D31" s="2" t="inlineStr">
        <is>
          <t>No bundle concept. A 2-for deal shows up as a cash-check discrepancy.</t>
        </is>
      </c>
      <c r="E31" s="2" t="inlineStr">
        <is>
          <t>If bundles are real, add bundle buttons that decrement components and record the bundle price.</t>
        </is>
      </c>
      <c r="F31" s="5" t="inlineStr">
        <is>
          <t>NO</t>
        </is>
      </c>
      <c r="G31" s="2" t="inlineStr">
        <is>
          <t>Needs Froggy's answer on whether bundles exist (finding 9 note).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0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>
      <c r="A1" s="6" t="inlineStr">
        <is>
          <t>WASHINGTON COUNTY FAIR, Jul 21-26 2026. Real data pulled read-only from your cloud sync on Jul 26. Days 1-5 complete; day 6 was in progress.</t>
        </is>
      </c>
    </row>
    <row r="2">
      <c r="A2" s="7" t="inlineStr">
        <is>
          <t>Every number below is a live formula. Change a count or a payment and the sheet recomputes, so you can check the app against it any time.</t>
        </is>
      </c>
    </row>
    <row r="4">
      <c r="A4" s="8" t="inlineStr">
        <is>
          <t>PRICES AND UNIT COSTS (the app's table; audit finding 5 says your real prices are higher, edit the blue cells to test)</t>
        </is>
      </c>
    </row>
    <row r="5">
      <c r="A5" s="9" t="inlineStr">
        <is>
          <t>SKU</t>
        </is>
      </c>
      <c r="B5" s="9" t="inlineStr">
        <is>
          <t>App Price</t>
        </is>
      </c>
      <c r="C5" s="9" t="inlineStr">
        <is>
          <t>Unit Cost</t>
        </is>
      </c>
    </row>
    <row r="6">
      <c r="A6" s="10" t="inlineStr">
        <is>
          <t>32oz</t>
        </is>
      </c>
      <c r="B6" s="11" t="n">
        <v>22.5</v>
      </c>
      <c r="C6" s="11" t="n">
        <v>6</v>
      </c>
    </row>
    <row r="7">
      <c r="A7" s="10" t="inlineStr">
        <is>
          <t>16oz</t>
        </is>
      </c>
      <c r="B7" s="11" t="n">
        <v>15</v>
      </c>
      <c r="C7" s="11" t="n">
        <v>4.5</v>
      </c>
    </row>
    <row r="8">
      <c r="A8" s="10" t="inlineStr">
        <is>
          <t>8oz</t>
        </is>
      </c>
      <c r="B8" s="11" t="n">
        <v>10</v>
      </c>
      <c r="C8" s="11" t="n">
        <v>4</v>
      </c>
    </row>
    <row r="9">
      <c r="A9" s="10" t="inlineStr">
        <is>
          <t>2oz</t>
        </is>
      </c>
      <c r="B9" s="11" t="n">
        <v>5</v>
      </c>
      <c r="C9" s="11" t="n">
        <v>2.25</v>
      </c>
    </row>
    <row r="10">
      <c r="A10" s="10" t="inlineStr">
        <is>
          <t>C5 Small</t>
        </is>
      </c>
      <c r="B10" s="11" t="n">
        <v>10</v>
      </c>
      <c r="C10" s="11" t="n">
        <v>3</v>
      </c>
    </row>
    <row r="11">
      <c r="A11" s="10" t="inlineStr">
        <is>
          <t>C5 Large</t>
        </is>
      </c>
      <c r="B11" s="11" t="n">
        <v>20</v>
      </c>
      <c r="C11" s="11" t="n">
        <v>6</v>
      </c>
    </row>
    <row r="12">
      <c r="A12" s="8" t="inlineStr">
        <is>
          <t>DAILY COUNTS AND MONEY (morning + restock - evening = sold; sold x price = full-price value; sold-units-left x cost = COGS)</t>
        </is>
      </c>
    </row>
    <row r="13">
      <c r="A13" s="9" t="inlineStr">
        <is>
          <t>Day</t>
        </is>
      </c>
      <c r="B13" s="9" t="inlineStr">
        <is>
          <t>SKU</t>
        </is>
      </c>
      <c r="C13" s="9" t="inlineStr">
        <is>
          <t>Morning</t>
        </is>
      </c>
      <c r="D13" s="9" t="inlineStr">
        <is>
          <t>Restock</t>
        </is>
      </c>
      <c r="E13" s="9" t="inlineStr">
        <is>
          <t>Evening</t>
        </is>
      </c>
      <c r="F13" s="9" t="inlineStr">
        <is>
          <t>Sold (formula)</t>
        </is>
      </c>
      <c r="G13" s="9" t="inlineStr">
        <is>
          <t>Full-Price Value</t>
        </is>
      </c>
      <c r="H13" s="9" t="inlineStr">
        <is>
          <t>COGS</t>
        </is>
      </c>
    </row>
    <row r="14">
      <c r="A14" s="10" t="inlineStr">
        <is>
          <t>Jul 21</t>
        </is>
      </c>
      <c r="B14" s="10" t="inlineStr">
        <is>
          <t>32oz</t>
        </is>
      </c>
      <c r="C14" s="10" t="n">
        <v>18</v>
      </c>
      <c r="D14" s="10" t="n">
        <v>0</v>
      </c>
      <c r="E14" s="10" t="n">
        <v>16</v>
      </c>
      <c r="F14" s="10">
        <f>MAX(0,C14+D14-E14)</f>
        <v/>
      </c>
      <c r="G14" s="12">
        <f>F14*$B$6</f>
        <v/>
      </c>
      <c r="H14" s="12">
        <f>F14*$C$6</f>
        <v/>
      </c>
    </row>
    <row r="15">
      <c r="A15" s="10" t="inlineStr">
        <is>
          <t>Jul 21</t>
        </is>
      </c>
      <c r="B15" s="10" t="inlineStr">
        <is>
          <t>16oz</t>
        </is>
      </c>
      <c r="C15" s="10" t="n">
        <v>31</v>
      </c>
      <c r="D15" s="10" t="n">
        <v>0</v>
      </c>
      <c r="E15" s="10" t="n">
        <v>28</v>
      </c>
      <c r="F15" s="10">
        <f>MAX(0,C15+D15-E15)</f>
        <v/>
      </c>
      <c r="G15" s="12">
        <f>F15*$B$7</f>
        <v/>
      </c>
      <c r="H15" s="12">
        <f>F15*$C$7</f>
        <v/>
      </c>
    </row>
    <row r="16">
      <c r="A16" s="10" t="inlineStr">
        <is>
          <t>Jul 21</t>
        </is>
      </c>
      <c r="B16" s="10" t="inlineStr">
        <is>
          <t>8oz</t>
        </is>
      </c>
      <c r="C16" s="10" t="n">
        <v>72</v>
      </c>
      <c r="D16" s="10" t="n">
        <v>0</v>
      </c>
      <c r="E16" s="10" t="n">
        <v>61</v>
      </c>
      <c r="F16" s="10">
        <f>MAX(0,C16+D16-E16)</f>
        <v/>
      </c>
      <c r="G16" s="12">
        <f>F16*$B$8</f>
        <v/>
      </c>
      <c r="H16" s="12">
        <f>F16*$C$8</f>
        <v/>
      </c>
    </row>
    <row r="17">
      <c r="A17" s="10" t="inlineStr">
        <is>
          <t>Jul 21</t>
        </is>
      </c>
      <c r="B17" s="10" t="inlineStr">
        <is>
          <t>2oz</t>
        </is>
      </c>
      <c r="C17" s="10" t="n">
        <v>85</v>
      </c>
      <c r="D17" s="10" t="n">
        <v>0</v>
      </c>
      <c r="E17" s="10" t="n">
        <v>75</v>
      </c>
      <c r="F17" s="10">
        <f>MAX(0,C17+D17-E17)</f>
        <v/>
      </c>
      <c r="G17" s="12">
        <f>F17*$B$9</f>
        <v/>
      </c>
      <c r="H17" s="12">
        <f>F17*$C$9</f>
        <v/>
      </c>
    </row>
    <row r="18">
      <c r="A18" s="10" t="inlineStr">
        <is>
          <t>Jul 21</t>
        </is>
      </c>
      <c r="B18" s="10" t="inlineStr">
        <is>
          <t>C5 Small</t>
        </is>
      </c>
      <c r="C18" s="10" t="n">
        <v>130</v>
      </c>
      <c r="D18" s="10" t="n">
        <v>0</v>
      </c>
      <c r="E18" s="10" t="n">
        <v>113</v>
      </c>
      <c r="F18" s="10">
        <f>MAX(0,C18+D18-E18)</f>
        <v/>
      </c>
      <c r="G18" s="12">
        <f>F18*$B$10</f>
        <v/>
      </c>
      <c r="H18" s="12">
        <f>F18*$C$10</f>
        <v/>
      </c>
    </row>
    <row r="19">
      <c r="A19" s="10" t="inlineStr">
        <is>
          <t>Jul 21</t>
        </is>
      </c>
      <c r="B19" s="10" t="inlineStr">
        <is>
          <t>C5 Large</t>
        </is>
      </c>
      <c r="C19" s="10" t="n">
        <v>48</v>
      </c>
      <c r="D19" s="10" t="n">
        <v>0</v>
      </c>
      <c r="E19" s="10" t="n">
        <v>42</v>
      </c>
      <c r="F19" s="10">
        <f>MAX(0,C19+D19-E19)</f>
        <v/>
      </c>
      <c r="G19" s="12">
        <f>F19*$B$11</f>
        <v/>
      </c>
      <c r="H19" s="12">
        <f>F19*$C$11</f>
        <v/>
      </c>
    </row>
    <row r="20">
      <c r="A20" s="10" t="inlineStr">
        <is>
          <t>Jul 22</t>
        </is>
      </c>
      <c r="B20" s="10" t="inlineStr">
        <is>
          <t>32oz</t>
        </is>
      </c>
      <c r="C20" s="10" t="n">
        <v>16</v>
      </c>
      <c r="D20" s="10" t="n">
        <v>0</v>
      </c>
      <c r="E20" s="10" t="n">
        <v>10</v>
      </c>
      <c r="F20" s="10">
        <f>MAX(0,C20+D20-E20)</f>
        <v/>
      </c>
      <c r="G20" s="12">
        <f>F20*$B$6</f>
        <v/>
      </c>
      <c r="H20" s="12">
        <f>F20*$C$6</f>
        <v/>
      </c>
    </row>
    <row r="21">
      <c r="A21" s="10" t="inlineStr">
        <is>
          <t>Jul 22</t>
        </is>
      </c>
      <c r="B21" s="10" t="inlineStr">
        <is>
          <t>16oz</t>
        </is>
      </c>
      <c r="C21" s="10" t="n">
        <v>28</v>
      </c>
      <c r="D21" s="10" t="n">
        <v>0</v>
      </c>
      <c r="E21" s="10" t="n">
        <v>25</v>
      </c>
      <c r="F21" s="10">
        <f>MAX(0,C21+D21-E21)</f>
        <v/>
      </c>
      <c r="G21" s="12">
        <f>F21*$B$7</f>
        <v/>
      </c>
      <c r="H21" s="12">
        <f>F21*$C$7</f>
        <v/>
      </c>
    </row>
    <row r="22">
      <c r="A22" s="10" t="inlineStr">
        <is>
          <t>Jul 22</t>
        </is>
      </c>
      <c r="B22" s="10" t="inlineStr">
        <is>
          <t>8oz</t>
        </is>
      </c>
      <c r="C22" s="10" t="n">
        <v>61</v>
      </c>
      <c r="D22" s="10" t="n">
        <v>0</v>
      </c>
      <c r="E22" s="10" t="n">
        <v>27</v>
      </c>
      <c r="F22" s="10">
        <f>MAX(0,C22+D22-E22)</f>
        <v/>
      </c>
      <c r="G22" s="12">
        <f>F22*$B$8</f>
        <v/>
      </c>
      <c r="H22" s="12">
        <f>F22*$C$8</f>
        <v/>
      </c>
    </row>
    <row r="23">
      <c r="A23" s="10" t="inlineStr">
        <is>
          <t>Jul 22</t>
        </is>
      </c>
      <c r="B23" s="10" t="inlineStr">
        <is>
          <t>2oz</t>
        </is>
      </c>
      <c r="C23" s="10" t="n">
        <v>75</v>
      </c>
      <c r="D23" s="10" t="n">
        <v>0</v>
      </c>
      <c r="E23" s="10" t="n">
        <v>64</v>
      </c>
      <c r="F23" s="10">
        <f>MAX(0,C23+D23-E23)</f>
        <v/>
      </c>
      <c r="G23" s="12">
        <f>F23*$B$9</f>
        <v/>
      </c>
      <c r="H23" s="12">
        <f>F23*$C$9</f>
        <v/>
      </c>
    </row>
    <row r="24">
      <c r="A24" s="10" t="inlineStr">
        <is>
          <t>Jul 22</t>
        </is>
      </c>
      <c r="B24" s="10" t="inlineStr">
        <is>
          <t>C5 Small</t>
        </is>
      </c>
      <c r="C24" s="10" t="n">
        <v>113</v>
      </c>
      <c r="D24" s="10" t="n">
        <v>0</v>
      </c>
      <c r="E24" s="10" t="n">
        <v>75</v>
      </c>
      <c r="F24" s="10">
        <f>MAX(0,C24+D24-E24)</f>
        <v/>
      </c>
      <c r="G24" s="12">
        <f>F24*$B$10</f>
        <v/>
      </c>
      <c r="H24" s="12">
        <f>F24*$C$10</f>
        <v/>
      </c>
    </row>
    <row r="25">
      <c r="A25" s="10" t="inlineStr">
        <is>
          <t>Jul 22</t>
        </is>
      </c>
      <c r="B25" s="10" t="inlineStr">
        <is>
          <t>C5 Large</t>
        </is>
      </c>
      <c r="C25" s="10" t="n">
        <v>42</v>
      </c>
      <c r="D25" s="10" t="n">
        <v>0</v>
      </c>
      <c r="E25" s="10" t="n">
        <v>29</v>
      </c>
      <c r="F25" s="10">
        <f>MAX(0,C25+D25-E25)</f>
        <v/>
      </c>
      <c r="G25" s="12">
        <f>F25*$B$11</f>
        <v/>
      </c>
      <c r="H25" s="12">
        <f>F25*$C$11</f>
        <v/>
      </c>
    </row>
    <row r="26">
      <c r="A26" s="10" t="inlineStr">
        <is>
          <t>Jul 23</t>
        </is>
      </c>
      <c r="B26" s="10" t="inlineStr">
        <is>
          <t>32oz</t>
        </is>
      </c>
      <c r="C26" s="10" t="n">
        <v>10</v>
      </c>
      <c r="D26" s="10" t="n">
        <v>36</v>
      </c>
      <c r="E26" s="10" t="n">
        <v>38</v>
      </c>
      <c r="F26" s="10">
        <f>MAX(0,C26+D26-E26)</f>
        <v/>
      </c>
      <c r="G26" s="12">
        <f>F26*$B$6</f>
        <v/>
      </c>
      <c r="H26" s="12">
        <f>F26*$C$6</f>
        <v/>
      </c>
    </row>
    <row r="27">
      <c r="A27" s="10" t="inlineStr">
        <is>
          <t>Jul 23</t>
        </is>
      </c>
      <c r="B27" s="10" t="inlineStr">
        <is>
          <t>16oz</t>
        </is>
      </c>
      <c r="C27" s="10" t="n">
        <v>25</v>
      </c>
      <c r="D27" s="10" t="n">
        <v>32</v>
      </c>
      <c r="E27" s="10" t="n">
        <v>54</v>
      </c>
      <c r="F27" s="10">
        <f>MAX(0,C27+D27-E27)</f>
        <v/>
      </c>
      <c r="G27" s="12">
        <f>F27*$B$7</f>
        <v/>
      </c>
      <c r="H27" s="12">
        <f>F27*$C$7</f>
        <v/>
      </c>
    </row>
    <row r="28">
      <c r="A28" s="10" t="inlineStr">
        <is>
          <t>Jul 23</t>
        </is>
      </c>
      <c r="B28" s="10" t="inlineStr">
        <is>
          <t>8oz</t>
        </is>
      </c>
      <c r="C28" s="10" t="n">
        <v>27</v>
      </c>
      <c r="D28" s="10" t="n">
        <v>72</v>
      </c>
      <c r="E28" s="10" t="n">
        <v>75</v>
      </c>
      <c r="F28" s="10">
        <f>MAX(0,C28+D28-E28)</f>
        <v/>
      </c>
      <c r="G28" s="12">
        <f>F28*$B$8</f>
        <v/>
      </c>
      <c r="H28" s="12">
        <f>F28*$C$8</f>
        <v/>
      </c>
    </row>
    <row r="29">
      <c r="A29" s="10" t="inlineStr">
        <is>
          <t>Jul 23</t>
        </is>
      </c>
      <c r="B29" s="10" t="inlineStr">
        <is>
          <t>2oz</t>
        </is>
      </c>
      <c r="C29" s="10" t="n">
        <v>64</v>
      </c>
      <c r="D29" s="10" t="n">
        <v>40</v>
      </c>
      <c r="E29" s="10" t="n">
        <v>92</v>
      </c>
      <c r="F29" s="10">
        <f>MAX(0,C29+D29-E29)</f>
        <v/>
      </c>
      <c r="G29" s="12">
        <f>F29*$B$9</f>
        <v/>
      </c>
      <c r="H29" s="12">
        <f>F29*$C$9</f>
        <v/>
      </c>
    </row>
    <row r="30">
      <c r="A30" s="10" t="inlineStr">
        <is>
          <t>Jul 23</t>
        </is>
      </c>
      <c r="B30" s="10" t="inlineStr">
        <is>
          <t>C5 Small</t>
        </is>
      </c>
      <c r="C30" s="10" t="n">
        <v>75</v>
      </c>
      <c r="D30" s="10" t="n">
        <v>140</v>
      </c>
      <c r="E30" s="10" t="n">
        <v>186</v>
      </c>
      <c r="F30" s="10">
        <f>MAX(0,C30+D30-E30)</f>
        <v/>
      </c>
      <c r="G30" s="12">
        <f>F30*$B$10</f>
        <v/>
      </c>
      <c r="H30" s="12">
        <f>F30*$C$10</f>
        <v/>
      </c>
    </row>
    <row r="31">
      <c r="A31" s="10" t="inlineStr">
        <is>
          <t>Jul 23</t>
        </is>
      </c>
      <c r="B31" s="10" t="inlineStr">
        <is>
          <t>C5 Large</t>
        </is>
      </c>
      <c r="C31" s="10" t="n">
        <v>29</v>
      </c>
      <c r="D31" s="10" t="n">
        <v>42</v>
      </c>
      <c r="E31" s="10" t="n">
        <v>56</v>
      </c>
      <c r="F31" s="10">
        <f>MAX(0,C31+D31-E31)</f>
        <v/>
      </c>
      <c r="G31" s="12">
        <f>F31*$B$11</f>
        <v/>
      </c>
      <c r="H31" s="12">
        <f>F31*$C$11</f>
        <v/>
      </c>
    </row>
    <row r="32">
      <c r="A32" s="10" t="inlineStr">
        <is>
          <t>Jul 24</t>
        </is>
      </c>
      <c r="B32" s="10" t="inlineStr">
        <is>
          <t>32oz</t>
        </is>
      </c>
      <c r="C32" s="10" t="n">
        <v>38</v>
      </c>
      <c r="D32" s="10" t="n">
        <v>0</v>
      </c>
      <c r="E32" s="10" t="n">
        <v>33</v>
      </c>
      <c r="F32" s="10">
        <f>MAX(0,C32+D32-E32)</f>
        <v/>
      </c>
      <c r="G32" s="12">
        <f>F32*$B$6</f>
        <v/>
      </c>
      <c r="H32" s="12">
        <f>F32*$C$6</f>
        <v/>
      </c>
    </row>
    <row r="33">
      <c r="A33" s="10" t="inlineStr">
        <is>
          <t>Jul 24</t>
        </is>
      </c>
      <c r="B33" s="10" t="inlineStr">
        <is>
          <t>16oz</t>
        </is>
      </c>
      <c r="C33" s="10" t="n">
        <v>54</v>
      </c>
      <c r="D33" s="10" t="n">
        <v>0</v>
      </c>
      <c r="E33" s="10" t="n">
        <v>51</v>
      </c>
      <c r="F33" s="10">
        <f>MAX(0,C33+D33-E33)</f>
        <v/>
      </c>
      <c r="G33" s="12">
        <f>F33*$B$7</f>
        <v/>
      </c>
      <c r="H33" s="12">
        <f>F33*$C$7</f>
        <v/>
      </c>
    </row>
    <row r="34">
      <c r="A34" s="10" t="inlineStr">
        <is>
          <t>Jul 24</t>
        </is>
      </c>
      <c r="B34" s="10" t="inlineStr">
        <is>
          <t>8oz</t>
        </is>
      </c>
      <c r="C34" s="10" t="n">
        <v>75</v>
      </c>
      <c r="D34" s="10" t="n">
        <v>0</v>
      </c>
      <c r="E34" s="10" t="n">
        <v>54</v>
      </c>
      <c r="F34" s="10">
        <f>MAX(0,C34+D34-E34)</f>
        <v/>
      </c>
      <c r="G34" s="12">
        <f>F34*$B$8</f>
        <v/>
      </c>
      <c r="H34" s="12">
        <f>F34*$C$8</f>
        <v/>
      </c>
    </row>
    <row r="35">
      <c r="A35" s="10" t="inlineStr">
        <is>
          <t>Jul 24</t>
        </is>
      </c>
      <c r="B35" s="10" t="inlineStr">
        <is>
          <t>2oz</t>
        </is>
      </c>
      <c r="C35" s="10" t="n">
        <v>92</v>
      </c>
      <c r="D35" s="10" t="n">
        <v>0</v>
      </c>
      <c r="E35" s="10" t="n">
        <v>82</v>
      </c>
      <c r="F35" s="10">
        <f>MAX(0,C35+D35-E35)</f>
        <v/>
      </c>
      <c r="G35" s="12">
        <f>F35*$B$9</f>
        <v/>
      </c>
      <c r="H35" s="12">
        <f>F35*$C$9</f>
        <v/>
      </c>
    </row>
    <row r="36">
      <c r="A36" s="10" t="inlineStr">
        <is>
          <t>Jul 24</t>
        </is>
      </c>
      <c r="B36" s="10" t="inlineStr">
        <is>
          <t>C5 Small</t>
        </is>
      </c>
      <c r="C36" s="10" t="n">
        <v>186</v>
      </c>
      <c r="D36" s="10" t="n">
        <v>0</v>
      </c>
      <c r="E36" s="10" t="n">
        <v>155</v>
      </c>
      <c r="F36" s="10">
        <f>MAX(0,C36+D36-E36)</f>
        <v/>
      </c>
      <c r="G36" s="12">
        <f>F36*$B$10</f>
        <v/>
      </c>
      <c r="H36" s="12">
        <f>F36*$C$10</f>
        <v/>
      </c>
    </row>
    <row r="37">
      <c r="A37" s="10" t="inlineStr">
        <is>
          <t>Jul 24</t>
        </is>
      </c>
      <c r="B37" s="10" t="inlineStr">
        <is>
          <t>C5 Large</t>
        </is>
      </c>
      <c r="C37" s="10" t="n">
        <v>56</v>
      </c>
      <c r="D37" s="10" t="n">
        <v>0</v>
      </c>
      <c r="E37" s="10" t="n">
        <v>48</v>
      </c>
      <c r="F37" s="10">
        <f>MAX(0,C37+D37-E37)</f>
        <v/>
      </c>
      <c r="G37" s="12">
        <f>F37*$B$11</f>
        <v/>
      </c>
      <c r="H37" s="12">
        <f>F37*$C$11</f>
        <v/>
      </c>
    </row>
    <row r="38">
      <c r="A38" s="10" t="inlineStr">
        <is>
          <t>Jul 25</t>
        </is>
      </c>
      <c r="B38" s="10" t="inlineStr">
        <is>
          <t>32oz</t>
        </is>
      </c>
      <c r="C38" s="10" t="n">
        <v>33</v>
      </c>
      <c r="D38" s="10" t="n">
        <v>0</v>
      </c>
      <c r="E38" s="10" t="n">
        <v>28</v>
      </c>
      <c r="F38" s="10">
        <f>MAX(0,C38+D38-E38)</f>
        <v/>
      </c>
      <c r="G38" s="12">
        <f>F38*$B$6</f>
        <v/>
      </c>
      <c r="H38" s="12">
        <f>F38*$C$6</f>
        <v/>
      </c>
    </row>
    <row r="39">
      <c r="A39" s="10" t="inlineStr">
        <is>
          <t>Jul 25</t>
        </is>
      </c>
      <c r="B39" s="10" t="inlineStr">
        <is>
          <t>16oz</t>
        </is>
      </c>
      <c r="C39" s="10" t="n">
        <v>51</v>
      </c>
      <c r="D39" s="10" t="n">
        <v>0</v>
      </c>
      <c r="E39" s="10" t="n">
        <v>43</v>
      </c>
      <c r="F39" s="10">
        <f>MAX(0,C39+D39-E39)</f>
        <v/>
      </c>
      <c r="G39" s="12">
        <f>F39*$B$7</f>
        <v/>
      </c>
      <c r="H39" s="12">
        <f>F39*$C$7</f>
        <v/>
      </c>
    </row>
    <row r="40">
      <c r="A40" s="10" t="inlineStr">
        <is>
          <t>Jul 25</t>
        </is>
      </c>
      <c r="B40" s="10" t="inlineStr">
        <is>
          <t>8oz</t>
        </is>
      </c>
      <c r="C40" s="10" t="n">
        <v>54</v>
      </c>
      <c r="D40" s="10" t="n">
        <v>0</v>
      </c>
      <c r="E40" s="10" t="n">
        <v>40</v>
      </c>
      <c r="F40" s="10">
        <f>MAX(0,C40+D40-E40)</f>
        <v/>
      </c>
      <c r="G40" s="12">
        <f>F40*$B$8</f>
        <v/>
      </c>
      <c r="H40" s="12">
        <f>F40*$C$8</f>
        <v/>
      </c>
    </row>
    <row r="41">
      <c r="A41" s="10" t="inlineStr">
        <is>
          <t>Jul 25</t>
        </is>
      </c>
      <c r="B41" s="10" t="inlineStr">
        <is>
          <t>2oz</t>
        </is>
      </c>
      <c r="C41" s="10" t="n">
        <v>82</v>
      </c>
      <c r="D41" s="10" t="n">
        <v>0</v>
      </c>
      <c r="E41" s="10" t="n">
        <v>41</v>
      </c>
      <c r="F41" s="10">
        <f>MAX(0,C41+D41-E41)</f>
        <v/>
      </c>
      <c r="G41" s="12">
        <f>F41*$B$9</f>
        <v/>
      </c>
      <c r="H41" s="12">
        <f>F41*$C$9</f>
        <v/>
      </c>
    </row>
    <row r="42">
      <c r="A42" s="10" t="inlineStr">
        <is>
          <t>Jul 25</t>
        </is>
      </c>
      <c r="B42" s="10" t="inlineStr">
        <is>
          <t>C5 Small</t>
        </is>
      </c>
      <c r="C42" s="10" t="n">
        <v>155</v>
      </c>
      <c r="D42" s="10" t="n">
        <v>0</v>
      </c>
      <c r="E42" s="10" t="n">
        <v>117</v>
      </c>
      <c r="F42" s="10">
        <f>MAX(0,C42+D42-E42)</f>
        <v/>
      </c>
      <c r="G42" s="12">
        <f>F42*$B$10</f>
        <v/>
      </c>
      <c r="H42" s="12">
        <f>F42*$C$10</f>
        <v/>
      </c>
    </row>
    <row r="43">
      <c r="A43" s="10" t="inlineStr">
        <is>
          <t>Jul 25</t>
        </is>
      </c>
      <c r="B43" s="10" t="inlineStr">
        <is>
          <t>C5 Large</t>
        </is>
      </c>
      <c r="C43" s="10" t="n">
        <v>48</v>
      </c>
      <c r="D43" s="10" t="n">
        <v>0</v>
      </c>
      <c r="E43" s="10" t="n">
        <v>33</v>
      </c>
      <c r="F43" s="10">
        <f>MAX(0,C43+D43-E43)</f>
        <v/>
      </c>
      <c r="G43" s="12">
        <f>F43*$B$11</f>
        <v/>
      </c>
      <c r="H43" s="12">
        <f>F43*$C$11</f>
        <v/>
      </c>
    </row>
    <row r="45">
      <c r="A45" s="8" t="inlineStr">
        <is>
          <t>PER-DAY SUMMARY</t>
        </is>
      </c>
    </row>
    <row r="46">
      <c r="A46" s="9" t="inlineStr">
        <is>
          <t>Day</t>
        </is>
      </c>
      <c r="B46" s="9" t="inlineStr">
        <is>
          <t>Cash</t>
        </is>
      </c>
      <c r="C46" s="9" t="inlineStr">
        <is>
          <t>Square</t>
        </is>
      </c>
      <c r="D46" s="9" t="inlineStr">
        <is>
          <t>Collected</t>
        </is>
      </c>
      <c r="E46" s="9" t="inlineStr">
        <is>
          <t>Full-Price Value</t>
        </is>
      </c>
      <c r="F46" s="9" t="inlineStr">
        <is>
          <t>COGS</t>
        </is>
      </c>
      <c r="G46" s="9" t="inlineStr">
        <is>
          <t>Cash Check (Collected - Full Price)</t>
        </is>
      </c>
    </row>
    <row r="47">
      <c r="A47" s="10" t="inlineStr">
        <is>
          <t>Jul 21</t>
        </is>
      </c>
      <c r="B47" s="11" t="n">
        <v>454</v>
      </c>
      <c r="C47" s="11" t="n">
        <v>187</v>
      </c>
      <c r="D47" s="12">
        <f>B47+C47</f>
        <v/>
      </c>
      <c r="E47" s="12">
        <f>SUM(G14:G19)</f>
        <v/>
      </c>
      <c r="F47" s="12">
        <f>SUM(H14:H19)</f>
        <v/>
      </c>
      <c r="G47" s="13">
        <f>D47-E47</f>
        <v/>
      </c>
    </row>
    <row r="48">
      <c r="A48" s="10" t="inlineStr">
        <is>
          <t>Jul 22</t>
        </is>
      </c>
      <c r="B48" s="11" t="n">
        <v>865</v>
      </c>
      <c r="C48" s="11" t="n">
        <v>605</v>
      </c>
      <c r="D48" s="12">
        <f>B48+C48</f>
        <v/>
      </c>
      <c r="E48" s="12">
        <f>SUM(G20:G25)</f>
        <v/>
      </c>
      <c r="F48" s="12">
        <f>SUM(H20:H25)</f>
        <v/>
      </c>
      <c r="G48" s="13">
        <f>D48-E48</f>
        <v/>
      </c>
    </row>
    <row r="49">
      <c r="A49" s="10" t="inlineStr">
        <is>
          <t>Jul 23</t>
        </is>
      </c>
      <c r="B49" s="11" t="n">
        <v>605</v>
      </c>
      <c r="C49" s="11" t="n">
        <v>710</v>
      </c>
      <c r="D49" s="12">
        <f>B49+C49</f>
        <v/>
      </c>
      <c r="E49" s="12">
        <f>SUM(G26:G31)</f>
        <v/>
      </c>
      <c r="F49" s="12">
        <f>SUM(H26:H31)</f>
        <v/>
      </c>
      <c r="G49" s="13">
        <f>D49-E49</f>
        <v/>
      </c>
    </row>
    <row r="50">
      <c r="A50" s="10" t="inlineStr">
        <is>
          <t>Jul 24</t>
        </is>
      </c>
      <c r="B50" s="11" t="n">
        <v>550</v>
      </c>
      <c r="C50" s="11" t="n">
        <v>550</v>
      </c>
      <c r="D50" s="12">
        <f>B50+C50</f>
        <v/>
      </c>
      <c r="E50" s="12">
        <f>SUM(G32:G37)</f>
        <v/>
      </c>
      <c r="F50" s="12">
        <f>SUM(H32:H37)</f>
        <v/>
      </c>
      <c r="G50" s="13">
        <f>D50-E50</f>
        <v/>
      </c>
    </row>
    <row r="51">
      <c r="A51" s="10" t="inlineStr">
        <is>
          <t>Jul 25</t>
        </is>
      </c>
      <c r="B51" s="11" t="n">
        <v>685</v>
      </c>
      <c r="C51" s="11" t="n">
        <v>875</v>
      </c>
      <c r="D51" s="12">
        <f>B51+C51</f>
        <v/>
      </c>
      <c r="E51" s="12">
        <f>SUM(G38:G43)</f>
        <v/>
      </c>
      <c r="F51" s="12">
        <f>SUM(H38:H43)</f>
        <v/>
      </c>
      <c r="G51" s="13">
        <f>D51-E51</f>
        <v/>
      </c>
    </row>
    <row r="52">
      <c r="A52" s="8" t="inlineStr">
        <is>
          <t>TOTAL days 1-5</t>
        </is>
      </c>
      <c r="B52" s="14">
        <f>SUM(B47:B51)</f>
        <v/>
      </c>
      <c r="C52" s="14">
        <f>SUM(C47:C51)</f>
        <v/>
      </c>
      <c r="D52" s="14">
        <f>SUM(D47:D51)</f>
        <v/>
      </c>
      <c r="E52" s="14">
        <f>SUM(E47:E51)</f>
        <v/>
      </c>
      <c r="F52" s="14">
        <f>SUM(F47:F51)</f>
        <v/>
      </c>
      <c r="G52" s="14">
        <f>SUM(G47:G51)</f>
        <v/>
      </c>
    </row>
    <row r="54">
      <c r="A54" s="8" t="inlineStr">
        <is>
          <t>SHOW P&amp;L: WHAT THE APP SHOWS vs CORRECTED (through day 5)</t>
        </is>
      </c>
    </row>
    <row r="55">
      <c r="A55" s="9" t="inlineStr">
        <is>
          <t>Line</t>
        </is>
      </c>
      <c r="B55" s="9" t="inlineStr">
        <is>
          <t>App Today</t>
        </is>
      </c>
      <c r="C55" s="9" t="inlineStr">
        <is>
          <t>Corrected</t>
        </is>
      </c>
      <c r="D55" s="9" t="inlineStr">
        <is>
          <t>Why It Differs</t>
        </is>
      </c>
    </row>
    <row r="56">
      <c r="A56" s="10" t="inlineStr">
        <is>
          <t>Collected (gross)</t>
        </is>
      </c>
      <c r="B56" s="13">
        <f>D52</f>
        <v/>
      </c>
      <c r="C56" s="13">
        <f>D52</f>
        <v/>
      </c>
      <c r="D56" s="15" t="inlineStr">
        <is>
          <t>Same. Verified against the app's own code: $6,086.00.</t>
        </is>
      </c>
    </row>
    <row r="57">
      <c r="A57" s="10" t="inlineStr">
        <is>
          <t>COGS</t>
        </is>
      </c>
      <c r="B57" s="13">
        <f>-F52</f>
        <v/>
      </c>
      <c r="C57" s="13">
        <f>-F52</f>
        <v/>
      </c>
      <c r="D57" s="15" t="inlineStr">
        <is>
          <t>Same. Verified: $1,652.00.</t>
        </is>
      </c>
    </row>
    <row r="58">
      <c r="A58" s="10" t="inlineStr">
        <is>
          <t>Booth fee</t>
        </is>
      </c>
      <c r="B58" s="13" t="n">
        <v>-580</v>
      </c>
      <c r="C58" s="13" t="n">
        <v>-589</v>
      </c>
      <c r="D58" s="15" t="inlineStr">
        <is>
          <t>App books sticker $580; you actually paid $589 (finding 6).</t>
        </is>
      </c>
    </row>
    <row r="59">
      <c r="A59" s="10" t="inlineStr">
        <is>
          <t>Supplies (auto bags + candy/paper)</t>
        </is>
      </c>
      <c r="B59" s="13">
        <f>-68.4</f>
        <v/>
      </c>
      <c r="C59" s="13">
        <f>-68.4</f>
        <v/>
      </c>
      <c r="D59" s="15" t="inlineStr">
        <is>
          <t>192 units x $0.20 bags + $30 flat. Same both sides.</t>
        </is>
      </c>
    </row>
    <row r="60">
      <c r="A60" s="10" t="inlineStr">
        <is>
          <t>Gas (456 mi, 17.5 MPG, $4.50)</t>
        </is>
      </c>
      <c r="B60" s="13" t="n">
        <v>0</v>
      </c>
      <c r="C60" s="13">
        <f>-ROUND(38*2*6/17.5*4.5,2)</f>
        <v/>
      </c>
      <c r="D60" s="15" t="inlineStr">
        <is>
          <t>App books $0 in profit; break-even quietly uses it (finding 2).</t>
        </is>
      </c>
    </row>
    <row r="61">
      <c r="A61" s="10" t="inlineStr">
        <is>
          <t>Square fees (3 percent of card)</t>
        </is>
      </c>
      <c r="B61" s="13" t="n">
        <v>0</v>
      </c>
      <c r="C61" s="13">
        <f>-ROUND(0.03*C52,2)</f>
        <v/>
      </c>
      <c r="D61" s="15" t="inlineStr">
        <is>
          <t>Setting exists, never used (finding 1).</t>
        </is>
      </c>
    </row>
    <row r="62">
      <c r="A62" s="10" t="inlineStr">
        <is>
          <t>Ronny day pay</t>
        </is>
      </c>
      <c r="B62" s="13" t="n">
        <v>0</v>
      </c>
      <c r="C62" s="13" t="n">
        <v>0</v>
      </c>
      <c r="D62" s="15" t="inlineStr">
        <is>
          <t>Not entered in the app yet, so BOTH sides show 0. Corrected side will drop by his real rate x 5 days (finding 10).</t>
        </is>
      </c>
    </row>
    <row r="63">
      <c r="A63" s="10" t="inlineStr">
        <is>
          <t>Sales tax set-aside</t>
        </is>
      </c>
      <c r="B63" s="13" t="n">
        <v>0</v>
      </c>
      <c r="C63" s="13" t="n">
        <v>0</v>
      </c>
      <c r="D63" s="15" t="inlineStr">
        <is>
          <t>Unknown until Froggy answers finding 3. If prices include 5.5 percent tax, about $317 of collected is the state's.</t>
        </is>
      </c>
    </row>
    <row r="64">
      <c r="A64" s="8" t="inlineStr">
        <is>
          <t>PROFIT</t>
        </is>
      </c>
      <c r="B64" s="16">
        <f>SUM(B56:B63)</f>
        <v/>
      </c>
      <c r="C64" s="16">
        <f>SUM(C56:C63)</f>
        <v/>
      </c>
      <c r="D64" s="17" t="inlineStr">
        <is>
          <t>App overstates by the difference. Expected: app $3,785.60 vs corrected $3,571.53, a $214.07 gap before Ronny's pay and sales tax.</t>
        </is>
      </c>
    </row>
    <row r="65">
      <c r="A65" s="10" t="inlineStr">
        <is>
          <t>Tax reserve (28 percent of profit)</t>
        </is>
      </c>
      <c r="B65" s="12">
        <f>ROUND(MAX(0,B64)*0.28,2)</f>
        <v/>
      </c>
      <c r="C65" s="12">
        <f>ROUND(MAX(0,C64)*0.28,2)</f>
        <v/>
      </c>
      <c r="D65" s="10" t="inlineStr">
        <is>
          <t>Same formula both sides; smaller corrected profit means a smaller reserve.</t>
        </is>
      </c>
    </row>
    <row r="66">
      <c r="A66" s="8" t="inlineStr">
        <is>
          <t>KEEP (profit - tax reserve)</t>
        </is>
      </c>
      <c r="B66" s="18">
        <f>B64-B65</f>
        <v/>
      </c>
      <c r="C66" s="18">
        <f>C64-C65</f>
        <v/>
      </c>
    </row>
    <row r="68">
      <c r="A68" s="8" t="inlineStr">
        <is>
          <t>BREAK-EVEN, THREE WAYS</t>
        </is>
      </c>
    </row>
    <row r="69">
      <c r="A69" s="9" t="inlineStr">
        <is>
          <t>Method</t>
        </is>
      </c>
      <c r="B69" s="9" t="inlineStr">
        <is>
          <t>Result</t>
        </is>
      </c>
      <c r="C69" s="9" t="inlineStr">
        <is>
          <t>Notes</t>
        </is>
      </c>
    </row>
    <row r="70">
      <c r="A70" s="10" t="inlineStr">
        <is>
          <t>App today: fixed / (1 - 0.30)</t>
        </is>
      </c>
      <c r="B70" s="12">
        <f>ROUND((580+ROUND(38*2*6/17.5*4.5,2)+30)/(1-0.3),2)</f>
        <v/>
      </c>
      <c r="C70" s="10" t="inlineStr">
        <is>
          <t>Hardcoded 30 percent COGS guess. Fixed = booth 580 + gas 117.26 + candy/paper 30.</t>
        </is>
      </c>
    </row>
    <row r="71">
      <c r="A71" s="10" t="inlineStr">
        <is>
          <t>Actual mix: fixed / (1 - real ratio)</t>
        </is>
      </c>
      <c r="B71" s="12">
        <f>ROUND((580+ROUND(38*2*6/17.5*4.5,2)+30)/(1-F52/D52),2)</f>
        <v/>
      </c>
      <c r="C71" s="10" t="inlineStr">
        <is>
          <t>Real WCF COGS ratio is 27.1 percent, computed from your own counts.</t>
        </is>
      </c>
    </row>
    <row r="72">
      <c r="A72" s="10" t="inlineStr">
        <is>
          <t>In units (what the app never shows)</t>
        </is>
      </c>
      <c r="B72" s="10">
        <f>ROUNDUP(B71/(E52/SUM(F14:F43)),0)</f>
        <v/>
      </c>
      <c r="C72" s="10" t="inlineStr">
        <is>
          <t>About 89 units at your average full price of about $11.30. Sell 89 units, the show is paid for.</t>
        </is>
      </c>
    </row>
  </sheetData>
  <autoFilter ref="A13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2026-07-26T13:31:50Z</dcterms:created>
  <dcterms:modified xsi:type="dcterms:W3CDTF">2026-07-26T13:31:50Z</dcterms:modified>
</cp:coreProperties>
</file>