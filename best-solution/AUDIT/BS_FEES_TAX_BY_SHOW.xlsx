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 &amp; Tax by Show" sheetId="1" state="visible" r:id="rId1"/>
    <sheet name="Upcoming Venue Rates" sheetId="2" state="visible" r:id="rId2"/>
  </sheets>
  <definedNames>
    <definedName name="_xlnm._FilterDatabase" localSheetId="0" hidden="1">'Fees &amp; Tax by Show'!$A$7:$L$17</definedName>
    <definedName name="_xlnm._FilterDatabase" localSheetId="1" hidden="1">'Upcoming Venue Rates'!$A$3:$E$22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"/>
  </numFmts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top" wrapText="1"/>
    </xf>
    <xf numFmtId="165" fontId="5" fillId="0" borderId="0" pivotButton="0" quotePrefix="0" xfId="0"/>
    <xf numFmtId="165" fontId="3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28" customWidth="1" min="3" max="3"/>
    <col width="11" customWidth="1" min="4" max="4"/>
    <col width="11" customWidth="1" min="5" max="5"/>
    <col width="11" customWidth="1" min="6" max="6"/>
    <col width="15" customWidth="1" min="7" max="7"/>
    <col width="13" customWidth="1" min="8" max="8"/>
    <col width="11" customWidth="1" min="9" max="9"/>
    <col width="15" customWidth="1" min="10" max="10"/>
    <col width="14" customWidth="1" min="11" max="11"/>
    <col width="12" customWidth="1" min="12" max="12"/>
  </cols>
  <sheetData>
    <row r="1">
      <c r="A1" s="1" t="inlineStr">
        <is>
          <t>SQUARE FEES + CARD SALES TAX, EVERY SHOW WITH MONEY (from your cloud data, synced 7/26 morning; WCF is through day 5)</t>
        </is>
      </c>
    </row>
    <row r="2">
      <c r="A2" s="2" t="inlineStr">
        <is>
          <t>Fee % and the charged tax % are the blue cells at the top; every row recomputes if you change them. Tax collected assumes your card totals INCLUDE the 5.5% you charged. Tax owed uses each venue's legal rate. IL venue rates are left for your tax person to confirm.</t>
        </is>
      </c>
    </row>
    <row r="4">
      <c r="A4" s="3" t="inlineStr">
        <is>
          <t>Square fee %</t>
        </is>
      </c>
      <c r="B4" s="4" t="n">
        <v>0.03</v>
      </c>
      <c r="C4" s="5" t="inlineStr">
        <is>
          <t>App setting. Square's actual in-person rate is 2.6% + $0.10 per tap, so 3% is a safe slight over-estimate.</t>
        </is>
      </c>
    </row>
    <row r="5">
      <c r="A5" s="3" t="inlineStr">
        <is>
          <t>Tax % you charged on card</t>
        </is>
      </c>
      <c r="B5" s="4" t="n">
        <v>0.055</v>
      </c>
      <c r="C5" s="5" t="inlineStr">
        <is>
          <t>You confirmed 5.5% charged on card sales only, included in the recorded card totals.</t>
        </is>
      </c>
    </row>
    <row r="7">
      <c r="A7" s="6" t="inlineStr">
        <is>
          <t>Show</t>
        </is>
      </c>
      <c r="B7" s="6" t="inlineStr">
        <is>
          <t>Date</t>
        </is>
      </c>
      <c r="C7" s="6" t="inlineStr">
        <is>
          <t>Location</t>
        </is>
      </c>
      <c r="D7" s="6" t="inlineStr">
        <is>
          <t>Venue Rate</t>
        </is>
      </c>
      <c r="E7" s="6" t="inlineStr">
        <is>
          <t>Cash</t>
        </is>
      </c>
      <c r="F7" s="6" t="inlineStr">
        <is>
          <t>Apps</t>
        </is>
      </c>
      <c r="G7" s="6" t="inlineStr">
        <is>
          <t>Card (Square+Debit)</t>
        </is>
      </c>
      <c r="H7" s="6" t="inlineStr">
        <is>
          <t>Collected Total</t>
        </is>
      </c>
      <c r="I7" s="6" t="inlineStr">
        <is>
          <t>Square Fee</t>
        </is>
      </c>
      <c r="J7" s="6" t="inlineStr">
        <is>
          <t>Tax Collected (5.5% in card)</t>
        </is>
      </c>
      <c r="K7" s="6" t="inlineStr">
        <is>
          <t>Tax Owed (venue rate)</t>
        </is>
      </c>
      <c r="L7" s="6" t="inlineStr">
        <is>
          <t>Over / (Short)</t>
        </is>
      </c>
    </row>
    <row r="8">
      <c r="A8" s="5" t="inlineStr">
        <is>
          <t>Kane County Flea Market</t>
        </is>
      </c>
      <c r="B8" s="5" t="inlineStr">
        <is>
          <t>2026-06-06</t>
        </is>
      </c>
      <c r="C8" s="5" t="inlineStr">
        <is>
          <t>St Charles, IL</t>
        </is>
      </c>
      <c r="D8" s="5" t="inlineStr">
        <is>
          <t>IL - confirm</t>
        </is>
      </c>
      <c r="E8" s="7" t="n">
        <v>430</v>
      </c>
      <c r="F8" s="7" t="n">
        <v>0</v>
      </c>
      <c r="G8" s="7" t="n">
        <v>405</v>
      </c>
      <c r="H8" s="7">
        <f>E8+F8+G8</f>
        <v/>
      </c>
      <c r="I8" s="7">
        <f>ROUND(G8*$B$4,2)</f>
        <v/>
      </c>
      <c r="J8" s="7">
        <f>ROUND(G8*$B$5/(1+$B$5),2)</f>
        <v/>
      </c>
      <c r="K8" s="5" t="inlineStr"/>
      <c r="L8" s="5" t="inlineStr"/>
    </row>
    <row r="9">
      <c r="A9" s="5" t="inlineStr">
        <is>
          <t>Rustic Fox — Carol Stream (Jun)</t>
        </is>
      </c>
      <c r="B9" s="5" t="inlineStr">
        <is>
          <t>2026-06-07</t>
        </is>
      </c>
      <c r="C9" s="5" t="inlineStr">
        <is>
          <t>Carol Stream, IL</t>
        </is>
      </c>
      <c r="D9" s="5" t="inlineStr">
        <is>
          <t>IL - confirm</t>
        </is>
      </c>
      <c r="E9" s="7" t="n">
        <v>665</v>
      </c>
      <c r="F9" s="7" t="n">
        <v>205</v>
      </c>
      <c r="G9" s="7" t="n">
        <v>215</v>
      </c>
      <c r="H9" s="7">
        <f>E9+F9+G9</f>
        <v/>
      </c>
      <c r="I9" s="7">
        <f>ROUND(G9*$B$4,2)</f>
        <v/>
      </c>
      <c r="J9" s="7">
        <f>ROUND(G9*$B$5/(1+$B$5),2)</f>
        <v/>
      </c>
      <c r="K9" s="5" t="inlineStr"/>
      <c r="L9" s="5" t="inlineStr"/>
    </row>
    <row r="10">
      <c r="A10" s="5" t="inlineStr">
        <is>
          <t>Milwaukee Polish Fest</t>
        </is>
      </c>
      <c r="B10" s="5" t="inlineStr">
        <is>
          <t>2026-06-12</t>
        </is>
      </c>
      <c r="C10" s="5" t="inlineStr">
        <is>
          <t>Milwaukee, WI (city)</t>
        </is>
      </c>
      <c r="D10" s="4" t="n">
        <v>0.079</v>
      </c>
      <c r="E10" s="7" t="n">
        <v>930</v>
      </c>
      <c r="F10" s="7" t="n">
        <v>395</v>
      </c>
      <c r="G10" s="7" t="n">
        <v>575</v>
      </c>
      <c r="H10" s="7">
        <f>E10+F10+G10</f>
        <v/>
      </c>
      <c r="I10" s="7">
        <f>ROUND(G10*$B$4,2)</f>
        <v/>
      </c>
      <c r="J10" s="7">
        <f>ROUND(G10*$B$5/(1+$B$5),2)</f>
        <v/>
      </c>
      <c r="K10" s="7">
        <f>ROUND(G10/(1+$B$5)*D10,2)</f>
        <v/>
      </c>
      <c r="L10" s="7">
        <f>J10-K10</f>
        <v/>
      </c>
    </row>
    <row r="11">
      <c r="A11" s="5" t="inlineStr">
        <is>
          <t>Fox &amp; Found — N Aurora (Jun)</t>
        </is>
      </c>
      <c r="B11" s="5" t="inlineStr">
        <is>
          <t>2026-06-20</t>
        </is>
      </c>
      <c r="C11" s="5" t="inlineStr">
        <is>
          <t>North Aurora, IL</t>
        </is>
      </c>
      <c r="D11" s="5" t="inlineStr">
        <is>
          <t>IL - confirm</t>
        </is>
      </c>
      <c r="E11" s="7" t="n">
        <v>100</v>
      </c>
      <c r="F11" s="7" t="n">
        <v>0</v>
      </c>
      <c r="G11" s="7" t="n">
        <v>780</v>
      </c>
      <c r="H11" s="7">
        <f>E11+F11+G11</f>
        <v/>
      </c>
      <c r="I11" s="7">
        <f>ROUND(G11*$B$4,2)</f>
        <v/>
      </c>
      <c r="J11" s="7">
        <f>ROUND(G11*$B$5/(1+$B$5),2)</f>
        <v/>
      </c>
      <c r="K11" s="5" t="inlineStr"/>
      <c r="L11" s="5" t="inlineStr"/>
    </row>
    <row r="12">
      <c r="A12" s="5" t="inlineStr">
        <is>
          <t>Pewaukee Beach Party</t>
        </is>
      </c>
      <c r="B12" s="5" t="inlineStr">
        <is>
          <t>2026-06-26</t>
        </is>
      </c>
      <c r="C12" s="5" t="inlineStr">
        <is>
          <t>Pewaukee, WI (Waukesha Cty)</t>
        </is>
      </c>
      <c r="D12" s="4" t="n">
        <v>0.05</v>
      </c>
      <c r="E12" s="7" t="n">
        <v>720</v>
      </c>
      <c r="F12" s="7" t="n">
        <v>370</v>
      </c>
      <c r="G12" s="7" t="n">
        <v>420</v>
      </c>
      <c r="H12" s="7">
        <f>E12+F12+G12</f>
        <v/>
      </c>
      <c r="I12" s="7">
        <f>ROUND(G12*$B$4,2)</f>
        <v/>
      </c>
      <c r="J12" s="7">
        <f>ROUND(G12*$B$5/(1+$B$5),2)</f>
        <v/>
      </c>
      <c r="K12" s="7">
        <f>ROUND(G12/(1+$B$5)*D12,2)</f>
        <v/>
      </c>
      <c r="L12" s="7">
        <f>J12-K12</f>
        <v/>
      </c>
    </row>
    <row r="13">
      <c r="A13" s="5" t="inlineStr">
        <is>
          <t>Rustic Fox — Carol Stream (Jul)</t>
        </is>
      </c>
      <c r="B13" s="5" t="inlineStr">
        <is>
          <t>2026-07-05</t>
        </is>
      </c>
      <c r="C13" s="5" t="inlineStr">
        <is>
          <t>Carol Stream, IL</t>
        </is>
      </c>
      <c r="D13" s="5" t="inlineStr">
        <is>
          <t>IL - confirm</t>
        </is>
      </c>
      <c r="E13" s="7" t="n">
        <v>250</v>
      </c>
      <c r="F13" s="7" t="n">
        <v>160</v>
      </c>
      <c r="G13" s="7" t="n">
        <v>295</v>
      </c>
      <c r="H13" s="7">
        <f>E13+F13+G13</f>
        <v/>
      </c>
      <c r="I13" s="7">
        <f>ROUND(G13*$B$4,2)</f>
        <v/>
      </c>
      <c r="J13" s="7">
        <f>ROUND(G13*$B$5/(1+$B$5),2)</f>
        <v/>
      </c>
      <c r="K13" s="5" t="inlineStr"/>
      <c r="L13" s="5" t="inlineStr"/>
    </row>
    <row r="14">
      <c r="A14" s="5" t="inlineStr">
        <is>
          <t>Waukesha County Fair</t>
        </is>
      </c>
      <c r="B14" s="5" t="inlineStr">
        <is>
          <t>2026-07-15</t>
        </is>
      </c>
      <c r="C14" s="5" t="inlineStr">
        <is>
          <t>Waukesha, WI (Waukesha Cty)</t>
        </is>
      </c>
      <c r="D14" s="4" t="n">
        <v>0.05</v>
      </c>
      <c r="E14" s="7" t="n">
        <v>1322</v>
      </c>
      <c r="F14" s="7" t="n">
        <v>240</v>
      </c>
      <c r="G14" s="7" t="n">
        <v>1206</v>
      </c>
      <c r="H14" s="7">
        <f>E14+F14+G14</f>
        <v/>
      </c>
      <c r="I14" s="7">
        <f>ROUND(G14*$B$4,2)</f>
        <v/>
      </c>
      <c r="J14" s="7">
        <f>ROUND(G14*$B$5/(1+$B$5),2)</f>
        <v/>
      </c>
      <c r="K14" s="7">
        <f>ROUND(G14/(1+$B$5)*D14,2)</f>
        <v/>
      </c>
      <c r="L14" s="7">
        <f>J14-K14</f>
        <v/>
      </c>
    </row>
    <row r="15">
      <c r="A15" s="5" t="inlineStr">
        <is>
          <t>Maxwell Street Days — Jul</t>
        </is>
      </c>
      <c r="B15" s="5" t="inlineStr">
        <is>
          <t>2026-07-18</t>
        </is>
      </c>
      <c r="C15" s="5" t="inlineStr">
        <is>
          <t>Mukwonago, WI (Waukesha Cty)</t>
        </is>
      </c>
      <c r="D15" s="4" t="n">
        <v>0.05</v>
      </c>
      <c r="E15" s="7" t="n">
        <v>261</v>
      </c>
      <c r="F15" s="7" t="n">
        <v>0</v>
      </c>
      <c r="G15" s="7" t="n">
        <v>70</v>
      </c>
      <c r="H15" s="7">
        <f>E15+F15+G15</f>
        <v/>
      </c>
      <c r="I15" s="7">
        <f>ROUND(G15*$B$4,2)</f>
        <v/>
      </c>
      <c r="J15" s="7">
        <f>ROUND(G15*$B$5/(1+$B$5),2)</f>
        <v/>
      </c>
      <c r="K15" s="7">
        <f>ROUND(G15/(1+$B$5)*D15,2)</f>
        <v/>
      </c>
      <c r="L15" s="7">
        <f>J15-K15</f>
        <v/>
      </c>
    </row>
    <row r="16">
      <c r="A16" s="5" t="inlineStr">
        <is>
          <t>Fox &amp; Found — N Aurora (Jul)</t>
        </is>
      </c>
      <c r="B16" s="5" t="inlineStr">
        <is>
          <t>2026-07-18</t>
        </is>
      </c>
      <c r="C16" s="5" t="inlineStr">
        <is>
          <t>North Aurora, IL</t>
        </is>
      </c>
      <c r="D16" s="5" t="inlineStr">
        <is>
          <t>IL - confirm</t>
        </is>
      </c>
      <c r="E16" s="7" t="n">
        <v>405</v>
      </c>
      <c r="F16" s="7" t="n">
        <v>55</v>
      </c>
      <c r="G16" s="7" t="n">
        <v>185</v>
      </c>
      <c r="H16" s="7">
        <f>E16+F16+G16</f>
        <v/>
      </c>
      <c r="I16" s="7">
        <f>ROUND(G16*$B$4,2)</f>
        <v/>
      </c>
      <c r="J16" s="7">
        <f>ROUND(G16*$B$5/(1+$B$5),2)</f>
        <v/>
      </c>
      <c r="K16" s="5" t="inlineStr"/>
      <c r="L16" s="5" t="inlineStr"/>
    </row>
    <row r="17">
      <c r="A17" s="5" t="inlineStr">
        <is>
          <t>Washington County Fair (thru day 5)</t>
        </is>
      </c>
      <c r="B17" s="5" t="inlineStr">
        <is>
          <t>2026-07-21</t>
        </is>
      </c>
      <c r="C17" s="5" t="inlineStr">
        <is>
          <t>West Bend, WI (Washington Cty)</t>
        </is>
      </c>
      <c r="D17" s="4" t="n">
        <v>0.055</v>
      </c>
      <c r="E17" s="7" t="n">
        <v>3159</v>
      </c>
      <c r="F17" s="7" t="n">
        <v>0</v>
      </c>
      <c r="G17" s="7" t="n">
        <v>2927</v>
      </c>
      <c r="H17" s="7">
        <f>E17+F17+G17</f>
        <v/>
      </c>
      <c r="I17" s="7">
        <f>ROUND(G17*$B$4,2)</f>
        <v/>
      </c>
      <c r="J17" s="7">
        <f>ROUND(G17*$B$5/(1+$B$5),2)</f>
        <v/>
      </c>
      <c r="K17" s="7">
        <f>ROUND(G17/(1+$B$5)*D17,2)</f>
        <v/>
      </c>
      <c r="L17" s="7">
        <f>J17-K17</f>
        <v/>
      </c>
    </row>
    <row r="18">
      <c r="A18" s="3" t="inlineStr">
        <is>
          <t>TOTALS</t>
        </is>
      </c>
      <c r="E18" s="8">
        <f>SUM(E8:E17)</f>
        <v/>
      </c>
      <c r="F18" s="8">
        <f>SUM(F8:F17)</f>
        <v/>
      </c>
      <c r="G18" s="8">
        <f>SUM(G8:G17)</f>
        <v/>
      </c>
      <c r="H18" s="8">
        <f>SUM(H8:H17)</f>
        <v/>
      </c>
      <c r="I18" s="8">
        <f>SUM(I8:I17)</f>
        <v/>
      </c>
      <c r="J18" s="8">
        <f>SUM(J8:J17)</f>
        <v/>
      </c>
      <c r="K18" s="8">
        <f>SUM(K8:K17)</f>
        <v/>
      </c>
    </row>
    <row r="20">
      <c r="A20" s="3" t="inlineStr">
        <is>
          <t>HEADS UP, NOT A LECTURE:</t>
        </is>
      </c>
    </row>
    <row r="21">
      <c r="A21" s="9" t="inlineStr">
        <is>
          <t>1. Milwaukee Polish Fest: the city rate is 7.9% but you charged 5.5%, so you owe about $13 more than you collected there. The Over/(Short) column shows it.</t>
        </is>
      </c>
    </row>
    <row r="22">
      <c r="A22" s="9" t="inlineStr">
        <is>
          <t>2. Waukesha County shows (Pewaukee, the Fair, Mukwonago): rate is 5.0%, you charged 5.5%, so you collected slightly MORE than the venue rate. Excess collected tax still gets remitted, it is not yours to keep.</t>
        </is>
      </c>
    </row>
    <row r="23">
      <c r="A23" s="9" t="inlineStr">
        <is>
          <t>3. Illinois shows: IL is its own tax system with its own registration and rates (roughly 7 to 8.25% by town). Ask your tax person how you should be handling IL event sales; the app's per-show rate field can hold whatever they say.</t>
        </is>
      </c>
    </row>
    <row r="24">
      <c r="A24" s="9" t="inlineStr">
        <is>
          <t>4. Cash and app sales: Wisconsin taxes ALL retail sales, not just card. The usual vendor treatment is that cash prices are tax-included. If that is your position, roughly $500 of your season's cash/app money is tax base too. One question for your tax person, then set it and forget it.</t>
        </is>
      </c>
    </row>
  </sheetData>
  <autoFilter ref="A7:L17"/>
  <mergeCells count="4">
    <mergeCell ref="A24:L24"/>
    <mergeCell ref="A21:L21"/>
    <mergeCell ref="A22:L22"/>
    <mergeCell ref="A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24" customWidth="1" min="3" max="3"/>
    <col width="13" customWidth="1" min="4" max="4"/>
    <col width="42" customWidth="1" min="5" max="5"/>
  </cols>
  <sheetData>
    <row r="1">
      <c r="A1" s="1" t="inlineStr">
        <is>
          <t>TAX RATE TO SET IN EDIT SHOW FOR EVERY UPCOMING SHOW (Sales Tax % on CARD sales field)</t>
        </is>
      </c>
    </row>
    <row r="3">
      <c r="A3" s="10" t="inlineStr">
        <is>
          <t>Show</t>
        </is>
      </c>
      <c r="B3" s="10" t="inlineStr">
        <is>
          <t>Date</t>
        </is>
      </c>
      <c r="C3" s="10" t="inlineStr">
        <is>
          <t>Location</t>
        </is>
      </c>
      <c r="D3" s="10" t="inlineStr">
        <is>
          <t>Rate to enter</t>
        </is>
      </c>
      <c r="E3" s="10" t="inlineStr">
        <is>
          <t>Status</t>
        </is>
      </c>
    </row>
    <row r="4">
      <c r="A4" s="5" t="inlineStr">
        <is>
          <t>Rustic Fox — Carol Stream (Aug)</t>
        </is>
      </c>
      <c r="B4" s="5" t="inlineStr">
        <is>
          <t>2026-08-02</t>
        </is>
      </c>
      <c r="C4" s="5" t="inlineStr">
        <is>
          <t>Carol Stream, IL</t>
        </is>
      </c>
      <c r="D4" s="5" t="inlineStr">
        <is>
          <t>IL - confirm</t>
        </is>
      </c>
      <c r="E4" s="5" t="inlineStr">
        <is>
          <t>ask tax person</t>
        </is>
      </c>
    </row>
    <row r="5">
      <c r="A5" s="5" t="inlineStr">
        <is>
          <t>McHenry County Fair</t>
        </is>
      </c>
      <c r="B5" s="5" t="inlineStr">
        <is>
          <t>2026-08-04</t>
        </is>
      </c>
      <c r="C5" s="5" t="inlineStr">
        <is>
          <t>McHenry County, IL</t>
        </is>
      </c>
      <c r="D5" s="5" t="inlineStr">
        <is>
          <t>IL - confirm</t>
        </is>
      </c>
      <c r="E5" s="5" t="inlineStr">
        <is>
          <t>ask tax person</t>
        </is>
      </c>
    </row>
    <row r="6">
      <c r="A6" s="5" t="inlineStr">
        <is>
          <t>Maxwell Street Days — Aug</t>
        </is>
      </c>
      <c r="B6" s="5" t="inlineStr">
        <is>
          <t>2026-08-15</t>
        </is>
      </c>
      <c r="C6" s="5" t="inlineStr">
        <is>
          <t>Mukwonago, WI</t>
        </is>
      </c>
      <c r="D6" s="5" t="inlineStr">
        <is>
          <t>5.0</t>
        </is>
      </c>
      <c r="E6" s="5" t="inlineStr">
        <is>
          <t>verified (Waukesha Cty, no county tax)</t>
        </is>
      </c>
    </row>
    <row r="7">
      <c r="A7" s="5" t="inlineStr">
        <is>
          <t>Fox &amp; Found — N Aurora (Aug)</t>
        </is>
      </c>
      <c r="B7" s="5" t="inlineStr">
        <is>
          <t>2026-08-15</t>
        </is>
      </c>
      <c r="C7" s="5" t="inlineStr">
        <is>
          <t>North Aurora, IL</t>
        </is>
      </c>
      <c r="D7" s="5" t="inlineStr">
        <is>
          <t>IL - confirm</t>
        </is>
      </c>
      <c r="E7" s="5" t="inlineStr">
        <is>
          <t>ask tax person</t>
        </is>
      </c>
    </row>
    <row r="8">
      <c r="A8" s="5" t="inlineStr">
        <is>
          <t>Sheboygan County Fair</t>
        </is>
      </c>
      <c r="B8" s="5" t="inlineStr">
        <is>
          <t>2026-09-03</t>
        </is>
      </c>
      <c r="C8" s="5" t="inlineStr">
        <is>
          <t>Plymouth, WI</t>
        </is>
      </c>
      <c r="D8" s="5" t="inlineStr">
        <is>
          <t>5.5</t>
        </is>
      </c>
      <c r="E8" s="5" t="inlineStr">
        <is>
          <t>verified (Sheboygan Cty)</t>
        </is>
      </c>
    </row>
    <row r="9">
      <c r="A9" s="5" t="inlineStr">
        <is>
          <t>St. Martins Fair</t>
        </is>
      </c>
      <c r="B9" s="5" t="inlineStr">
        <is>
          <t>2026-09-06</t>
        </is>
      </c>
      <c r="C9" s="5" t="inlineStr">
        <is>
          <t>Franklin, WI</t>
        </is>
      </c>
      <c r="D9" s="5" t="inlineStr">
        <is>
          <t>5.9</t>
        </is>
      </c>
      <c r="E9" s="5" t="inlineStr">
        <is>
          <t>verified (Milwaukee Cty, outside city)</t>
        </is>
      </c>
    </row>
    <row r="10">
      <c r="A10" s="5" t="inlineStr">
        <is>
          <t>Rustic Fox — Carol Stream (Sep)</t>
        </is>
      </c>
      <c r="B10" s="5" t="inlineStr">
        <is>
          <t>2026-09-06</t>
        </is>
      </c>
      <c r="C10" s="5" t="inlineStr">
        <is>
          <t>Carol Stream, IL</t>
        </is>
      </c>
      <c r="D10" s="5" t="inlineStr">
        <is>
          <t>IL - confirm</t>
        </is>
      </c>
      <c r="E10" s="5" t="inlineStr">
        <is>
          <t>ask tax person</t>
        </is>
      </c>
    </row>
    <row r="11">
      <c r="A11" s="5" t="inlineStr">
        <is>
          <t>Maxwell Street Days — Sep</t>
        </is>
      </c>
      <c r="B11" s="5" t="inlineStr">
        <is>
          <t>2026-09-12</t>
        </is>
      </c>
      <c r="C11" s="5" t="inlineStr">
        <is>
          <t>Mukwonago, WI</t>
        </is>
      </c>
      <c r="D11" s="5" t="inlineStr">
        <is>
          <t>5.0</t>
        </is>
      </c>
      <c r="E11" s="5" t="inlineStr">
        <is>
          <t>verified</t>
        </is>
      </c>
    </row>
    <row r="12">
      <c r="A12" s="5" t="inlineStr">
        <is>
          <t>Fox &amp; Found — N Aurora (Sep)</t>
        </is>
      </c>
      <c r="B12" s="5" t="inlineStr">
        <is>
          <t>2026-09-19</t>
        </is>
      </c>
      <c r="C12" s="5" t="inlineStr">
        <is>
          <t>North Aurora, IL</t>
        </is>
      </c>
      <c r="D12" s="5" t="inlineStr">
        <is>
          <t>IL - confirm</t>
        </is>
      </c>
      <c r="E12" s="5" t="inlineStr">
        <is>
          <t>ask tax person</t>
        </is>
      </c>
    </row>
    <row r="13">
      <c r="A13" s="5" t="inlineStr">
        <is>
          <t>Wine and Harvest Fest</t>
        </is>
      </c>
      <c r="B13" s="5" t="inlineStr">
        <is>
          <t>2026-09-19</t>
        </is>
      </c>
      <c r="C13" s="5" t="inlineStr">
        <is>
          <t>Cedarburg, WI</t>
        </is>
      </c>
      <c r="D13" s="5" t="inlineStr">
        <is>
          <t>5.5</t>
        </is>
      </c>
      <c r="E13" s="5" t="inlineStr">
        <is>
          <t>verified (Ozaukee Cty)</t>
        </is>
      </c>
    </row>
    <row r="14">
      <c r="A14" s="5" t="inlineStr">
        <is>
          <t>Cranberry Fest</t>
        </is>
      </c>
      <c r="B14" s="5" t="inlineStr">
        <is>
          <t>2026-09-25</t>
        </is>
      </c>
      <c r="C14" s="5" t="inlineStr">
        <is>
          <t>Warrens, WI</t>
        </is>
      </c>
      <c r="D14" s="5" t="inlineStr">
        <is>
          <t>5.5 - confirm</t>
        </is>
      </c>
      <c r="E14" s="5" t="inlineStr">
        <is>
          <t>Monroe Cty, almost certainly 5.5</t>
        </is>
      </c>
    </row>
    <row r="15">
      <c r="A15" s="5" t="inlineStr">
        <is>
          <t>Rustic Fox — Carol Stream (Oct)</t>
        </is>
      </c>
      <c r="B15" s="5" t="inlineStr">
        <is>
          <t>2026-10-04</t>
        </is>
      </c>
      <c r="C15" s="5" t="inlineStr">
        <is>
          <t>Carol Stream, IL</t>
        </is>
      </c>
      <c r="D15" s="5" t="inlineStr">
        <is>
          <t>IL - confirm</t>
        </is>
      </c>
      <c r="E15" s="5" t="inlineStr">
        <is>
          <t>ask tax person</t>
        </is>
      </c>
    </row>
    <row r="16">
      <c r="A16" s="5" t="inlineStr">
        <is>
          <t>Burgoo Fest</t>
        </is>
      </c>
      <c r="B16" s="5" t="inlineStr">
        <is>
          <t>2026-10-10</t>
        </is>
      </c>
      <c r="C16" s="5" t="inlineStr">
        <is>
          <t>Utica, IL</t>
        </is>
      </c>
      <c r="D16" s="5" t="inlineStr">
        <is>
          <t>IL - confirm</t>
        </is>
      </c>
      <c r="E16" s="5" t="inlineStr">
        <is>
          <t>ask tax person</t>
        </is>
      </c>
    </row>
    <row r="17">
      <c r="A17" s="5" t="inlineStr">
        <is>
          <t>Fox &amp; Found — N Aurora (Oct)</t>
        </is>
      </c>
      <c r="B17" s="5" t="inlineStr">
        <is>
          <t>2026-10-17</t>
        </is>
      </c>
      <c r="C17" s="5" t="inlineStr">
        <is>
          <t>North Aurora, IL</t>
        </is>
      </c>
      <c r="D17" s="5" t="inlineStr">
        <is>
          <t>IL - confirm</t>
        </is>
      </c>
      <c r="E17" s="5" t="inlineStr">
        <is>
          <t>ask tax person</t>
        </is>
      </c>
    </row>
    <row r="18">
      <c r="A18" s="5" t="inlineStr">
        <is>
          <t>Sip &amp; Sleigh — Carol Stream</t>
        </is>
      </c>
      <c r="B18" s="5" t="inlineStr">
        <is>
          <t>2026-11-07</t>
        </is>
      </c>
      <c r="C18" s="5" t="inlineStr">
        <is>
          <t>Carol Stream, IL</t>
        </is>
      </c>
      <c r="D18" s="5" t="inlineStr">
        <is>
          <t>IL - confirm</t>
        </is>
      </c>
      <c r="E18" s="5" t="inlineStr">
        <is>
          <t>ask tax person</t>
        </is>
      </c>
    </row>
    <row r="19">
      <c r="A19" s="5" t="inlineStr">
        <is>
          <t>Sip &amp; Sleigh — N Aurora</t>
        </is>
      </c>
      <c r="B19" s="5" t="inlineStr">
        <is>
          <t>2026-11-20</t>
        </is>
      </c>
      <c r="C19" s="5" t="inlineStr">
        <is>
          <t>North Aurora, IL</t>
        </is>
      </c>
      <c r="D19" s="5" t="inlineStr">
        <is>
          <t>IL - confirm</t>
        </is>
      </c>
      <c r="E19" s="5" t="inlineStr">
        <is>
          <t>ask tax person</t>
        </is>
      </c>
    </row>
    <row r="20">
      <c r="A20" s="5" t="inlineStr">
        <is>
          <t>Baraboo Christmas Market</t>
        </is>
      </c>
      <c r="B20" s="5" t="inlineStr">
        <is>
          <t>2026-11-21</t>
        </is>
      </c>
      <c r="C20" s="5" t="inlineStr">
        <is>
          <t>Baraboo, WI</t>
        </is>
      </c>
      <c r="D20" s="5" t="inlineStr">
        <is>
          <t>5.5 - confirm</t>
        </is>
      </c>
      <c r="E20" s="5" t="inlineStr">
        <is>
          <t>Sauk Cty; note Wisconsin Dells resort tax does NOT apply in Baraboo</t>
        </is>
      </c>
    </row>
    <row r="21">
      <c r="A21" s="5" t="inlineStr">
        <is>
          <t>Kris Kringle — Carol Stream</t>
        </is>
      </c>
      <c r="B21" s="5" t="inlineStr">
        <is>
          <t>2026-12-04</t>
        </is>
      </c>
      <c r="C21" s="5" t="inlineStr">
        <is>
          <t>Carol Stream, IL</t>
        </is>
      </c>
      <c r="D21" s="5" t="inlineStr">
        <is>
          <t>IL - confirm</t>
        </is>
      </c>
      <c r="E21" s="5" t="inlineStr">
        <is>
          <t>ask tax person</t>
        </is>
      </c>
    </row>
    <row r="22">
      <c r="A22" s="5" t="inlineStr">
        <is>
          <t>Kris Kringle — N Aurora</t>
        </is>
      </c>
      <c r="B22" s="5" t="inlineStr">
        <is>
          <t>2026-12-12</t>
        </is>
      </c>
      <c r="C22" s="5" t="inlineStr">
        <is>
          <t>North Aurora, IL</t>
        </is>
      </c>
      <c r="D22" s="5" t="inlineStr">
        <is>
          <t>IL - confirm</t>
        </is>
      </c>
      <c r="E22" s="5" t="inlineStr">
        <is>
          <t>ask tax person</t>
        </is>
      </c>
    </row>
  </sheetData>
  <autoFilter ref="A3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2026-07-26T14:24:11Z</dcterms:created>
  <dcterms:modified xsi:type="dcterms:W3CDTF">2026-07-26T14:24:11Z</dcterms:modified>
</cp:coreProperties>
</file>